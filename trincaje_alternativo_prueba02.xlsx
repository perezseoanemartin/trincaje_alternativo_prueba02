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gif" ContentType="image/gif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marti\Downloads\"/>
    </mc:Choice>
  </mc:AlternateContent>
  <xr:revisionPtr revIDLastSave="0" documentId="8_{2E7CA210-387A-48D8-9FE6-7DF13EEA4E1B}" xr6:coauthVersionLast="47" xr6:coauthVersionMax="47" xr10:uidLastSave="{00000000-0000-0000-0000-000000000000}"/>
  <bookViews>
    <workbookView xWindow="-108" yWindow="-108" windowWidth="23256" windowHeight="12456" firstSheet="2" activeTab="2" xr2:uid="{00000000-000D-0000-FFFF-FFFF00000000}"/>
  </bookViews>
  <sheets>
    <sheet name="Pta. Buitra" sheetId="2" r:id="rId1"/>
    <sheet name="Cormorán" sheetId="1" r:id="rId2"/>
    <sheet name="CALCULO" sheetId="3" r:id="rId3"/>
    <sheet name="Tablas" sheetId="4" state="hidden" r:id="rId4"/>
  </sheets>
  <externalReferences>
    <externalReference r:id="rId5"/>
  </externalReferences>
  <definedNames>
    <definedName name="_xlnm.Print_Area" localSheetId="1">Cormorán!$Y$1:$AL$123</definedName>
    <definedName name="_xlnm.Print_Area" localSheetId="0">'Pta. Buitra'!$A$6:$J$57</definedName>
    <definedName name="CH">[1]Est!$B$2</definedName>
  </definedNames>
  <calcPr calcId="191029" iterate="1" iterateCount="1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96" i="3" l="1"/>
  <c r="I195" i="3"/>
  <c r="C153" i="3" a="1"/>
  <c r="C153" i="3"/>
  <c r="C151" i="3"/>
  <c r="C154" i="3"/>
  <c r="D153" i="3" a="1"/>
  <c r="D153" i="3"/>
  <c r="D151" i="3"/>
  <c r="D154" i="3"/>
  <c r="E153" i="3" a="1"/>
  <c r="E153" i="3"/>
  <c r="E151" i="3"/>
  <c r="E154" i="3"/>
  <c r="F153" i="3" a="1"/>
  <c r="F153" i="3"/>
  <c r="F151" i="3"/>
  <c r="F154" i="3"/>
  <c r="G153" i="3" a="1"/>
  <c r="G153" i="3"/>
  <c r="G151" i="3"/>
  <c r="G154" i="3"/>
  <c r="H153" i="3" a="1"/>
  <c r="H153" i="3"/>
  <c r="H151" i="3"/>
  <c r="H154" i="3"/>
  <c r="I153" i="3" a="1"/>
  <c r="I153" i="3"/>
  <c r="I151" i="3"/>
  <c r="I154" i="3"/>
  <c r="K154" i="3"/>
  <c r="I177" i="3"/>
  <c r="F5" i="3"/>
  <c r="F7" i="3"/>
  <c r="F6" i="3"/>
  <c r="F21" i="3"/>
  <c r="F22" i="3"/>
  <c r="F23" i="3"/>
  <c r="F24" i="3"/>
  <c r="F25" i="3"/>
  <c r="F20" i="3"/>
  <c r="F19" i="3"/>
  <c r="F8" i="3"/>
  <c r="F9" i="3"/>
  <c r="F10" i="3"/>
  <c r="F11" i="3"/>
  <c r="F12" i="3"/>
  <c r="F13" i="3"/>
  <c r="F14" i="3"/>
  <c r="F15" i="3"/>
  <c r="F16" i="3"/>
  <c r="F17" i="3"/>
  <c r="F18" i="3"/>
  <c r="F27" i="3"/>
  <c r="B27" i="3"/>
  <c r="E27" i="3"/>
  <c r="C227" i="3"/>
  <c r="C232" i="3"/>
  <c r="E227" i="3"/>
  <c r="E232" i="3"/>
  <c r="D227" i="3"/>
  <c r="D232" i="3"/>
  <c r="F227" i="3"/>
  <c r="F232" i="3"/>
  <c r="G227" i="3"/>
  <c r="G232" i="3"/>
  <c r="H227" i="3"/>
  <c r="H232" i="3"/>
  <c r="I227" i="3"/>
  <c r="I232" i="3"/>
  <c r="K232" i="3"/>
  <c r="H269" i="3"/>
  <c r="D269" i="3"/>
  <c r="D267" i="3"/>
  <c r="E269" i="3"/>
  <c r="I269" i="3"/>
  <c r="P57" i="3"/>
  <c r="N57" i="3"/>
  <c r="L57" i="3"/>
  <c r="K57" i="3"/>
  <c r="H57" i="3"/>
  <c r="G57" i="3"/>
  <c r="H49" i="3"/>
  <c r="M51" i="3"/>
  <c r="L56" i="3"/>
  <c r="I51" i="3"/>
  <c r="H56" i="3"/>
  <c r="I50" i="3"/>
  <c r="L51" i="3"/>
  <c r="H51" i="3"/>
  <c r="H53" i="3"/>
  <c r="L50" i="3"/>
  <c r="L53" i="3"/>
  <c r="E51" i="3"/>
  <c r="E52" i="3"/>
  <c r="E53" i="3"/>
  <c r="E54" i="3"/>
  <c r="E50" i="3"/>
  <c r="R42" i="3" a="1"/>
  <c r="R42" i="3"/>
  <c r="C22" i="3"/>
  <c r="R43" i="3" a="1"/>
  <c r="R43" i="3"/>
  <c r="C23" i="3"/>
  <c r="R44" i="3" a="1"/>
  <c r="R44" i="3"/>
  <c r="C24" i="3"/>
  <c r="R45" i="3" a="1"/>
  <c r="R45" i="3"/>
  <c r="C25" i="3"/>
  <c r="R41" i="3" a="1"/>
  <c r="R41" i="3"/>
  <c r="C21" i="3"/>
  <c r="Q43" i="3" a="1"/>
  <c r="Q43" i="3"/>
  <c r="K23" i="3"/>
  <c r="Q44" i="3" a="1"/>
  <c r="Q44" i="3"/>
  <c r="K24" i="3"/>
  <c r="Q45" i="3" a="1"/>
  <c r="Q45" i="3"/>
  <c r="K25" i="3"/>
  <c r="Q42" i="3" a="1"/>
  <c r="Q42" i="3"/>
  <c r="K22" i="3"/>
  <c r="Q41" i="3" a="1"/>
  <c r="Q41" i="3"/>
  <c r="K21" i="3"/>
  <c r="P53" i="3"/>
  <c r="L59" i="3"/>
  <c r="P59" i="3"/>
  <c r="H59" i="3"/>
  <c r="M56" i="3"/>
  <c r="I56" i="3"/>
  <c r="S37" i="3"/>
  <c r="S38" i="3" a="1"/>
  <c r="S38" i="3"/>
  <c r="C29" i="3"/>
  <c r="S34" i="3"/>
  <c r="S35" i="3" a="1"/>
  <c r="S35" i="3"/>
  <c r="F29" i="3"/>
  <c r="C256" i="3"/>
  <c r="C258" i="3" a="1"/>
  <c r="C258" i="3"/>
  <c r="C260" i="3"/>
  <c r="D256" i="3"/>
  <c r="D258" i="3" a="1"/>
  <c r="D258" i="3"/>
  <c r="D260" i="3"/>
  <c r="E256" i="3"/>
  <c r="E258" i="3" a="1"/>
  <c r="E258" i="3"/>
  <c r="E260" i="3"/>
  <c r="F256" i="3"/>
  <c r="F258" i="3" a="1"/>
  <c r="F258" i="3"/>
  <c r="F260" i="3"/>
  <c r="G256" i="3"/>
  <c r="G258" i="3" a="1"/>
  <c r="G258" i="3"/>
  <c r="G260" i="3"/>
  <c r="H256" i="3"/>
  <c r="H258" i="3" a="1"/>
  <c r="H258" i="3"/>
  <c r="H260" i="3"/>
  <c r="I256" i="3"/>
  <c r="I258" i="3" a="1"/>
  <c r="I258" i="3"/>
  <c r="I260" i="3"/>
  <c r="K260" i="3"/>
  <c r="I266" i="3"/>
  <c r="S29" i="3"/>
  <c r="D5" i="3"/>
  <c r="D6" i="3"/>
  <c r="D7" i="3"/>
  <c r="D8" i="3"/>
  <c r="D9" i="3"/>
  <c r="D10" i="3"/>
  <c r="D11" i="3"/>
  <c r="D12" i="3"/>
  <c r="D13" i="3"/>
  <c r="D14" i="3"/>
  <c r="D15" i="3"/>
  <c r="D16" i="3"/>
  <c r="D17" i="3"/>
  <c r="D18" i="3"/>
  <c r="D19" i="3"/>
  <c r="D20" i="3"/>
  <c r="D21" i="3"/>
  <c r="D22" i="3"/>
  <c r="D23" i="3"/>
  <c r="D24" i="3"/>
  <c r="D25" i="3"/>
  <c r="D27" i="3"/>
  <c r="C27" i="3"/>
  <c r="I27" i="3"/>
  <c r="I29" i="3"/>
  <c r="L30" i="3"/>
  <c r="S30" i="3"/>
  <c r="C205" i="3" a="1"/>
  <c r="C205" i="3"/>
  <c r="C119" i="3" a="1"/>
  <c r="C119" i="3"/>
  <c r="C66" i="3" a="1"/>
  <c r="C66" i="3"/>
  <c r="N5" i="3"/>
  <c r="M41" i="3"/>
  <c r="M42" i="3"/>
  <c r="M38" i="3"/>
  <c r="K125" i="3"/>
  <c r="E249" i="3" a="1"/>
  <c r="E249" i="3"/>
  <c r="D249" i="3" a="1"/>
  <c r="D249" i="3"/>
  <c r="C127" i="3"/>
  <c r="D183" i="3"/>
  <c r="H183" i="3"/>
  <c r="L189" i="3"/>
  <c r="C129" i="3"/>
  <c r="E184" i="3"/>
  <c r="H184" i="3"/>
  <c r="G189" i="3"/>
  <c r="H189" i="3"/>
  <c r="C189" i="3"/>
  <c r="D189" i="3"/>
  <c r="K189" i="3"/>
  <c r="G188" i="3"/>
  <c r="H188" i="3"/>
  <c r="C188" i="3"/>
  <c r="D188" i="3"/>
  <c r="K188" i="3"/>
  <c r="C144" i="3" a="1"/>
  <c r="C144" i="3"/>
  <c r="C142" i="3"/>
  <c r="C145" i="3"/>
  <c r="C215" i="3"/>
  <c r="C214" i="3"/>
  <c r="C213" i="3"/>
  <c r="C76" i="3"/>
  <c r="C75" i="3"/>
  <c r="C74" i="3"/>
  <c r="C128" i="3"/>
  <c r="L188" i="3"/>
  <c r="D86" i="3"/>
  <c r="N86" i="3"/>
  <c r="D87" i="3"/>
  <c r="N87" i="3"/>
  <c r="D88" i="3"/>
  <c r="N88" i="3"/>
  <c r="D89" i="3"/>
  <c r="N89" i="3"/>
  <c r="D90" i="3"/>
  <c r="N90" i="3"/>
  <c r="D91" i="3"/>
  <c r="N91" i="3"/>
  <c r="N92" i="3"/>
  <c r="H110" i="3"/>
  <c r="M34" i="3"/>
  <c r="S32" i="3" a="1"/>
  <c r="S32" i="3"/>
  <c r="R37" i="3"/>
  <c r="R24" i="3"/>
  <c r="D109" i="3"/>
  <c r="E109" i="3"/>
  <c r="D93" i="3"/>
  <c r="N93" i="3"/>
  <c r="D94" i="3"/>
  <c r="N94" i="3"/>
  <c r="D95" i="3"/>
  <c r="N95" i="3"/>
  <c r="D96" i="3"/>
  <c r="N96" i="3"/>
  <c r="D97" i="3"/>
  <c r="N97" i="3"/>
  <c r="D98" i="3"/>
  <c r="N98" i="3"/>
  <c r="N99" i="3"/>
  <c r="G109" i="3"/>
  <c r="I109" i="3"/>
  <c r="C81" i="3"/>
  <c r="D81" i="3"/>
  <c r="F75" i="3"/>
  <c r="H75" i="3"/>
  <c r="I75" i="3"/>
  <c r="E81" i="3"/>
  <c r="F77" i="3"/>
  <c r="H77" i="3"/>
  <c r="I77" i="3"/>
  <c r="F81" i="3"/>
  <c r="G81" i="3"/>
  <c r="K109" i="3"/>
  <c r="L86" i="3" a="1"/>
  <c r="L86" i="3"/>
  <c r="M86" i="3"/>
  <c r="L87" i="3" a="1"/>
  <c r="L87" i="3"/>
  <c r="M87" i="3"/>
  <c r="L88" i="3" a="1"/>
  <c r="L88" i="3"/>
  <c r="M88" i="3"/>
  <c r="L89" i="3" a="1"/>
  <c r="L89" i="3"/>
  <c r="M89" i="3"/>
  <c r="L90" i="3" a="1"/>
  <c r="L90" i="3"/>
  <c r="M90" i="3"/>
  <c r="L91" i="3" a="1"/>
  <c r="L91" i="3"/>
  <c r="M91" i="3"/>
  <c r="L93" i="3" a="1"/>
  <c r="L93" i="3"/>
  <c r="M93" i="3"/>
  <c r="L94" i="3" a="1"/>
  <c r="L94" i="3"/>
  <c r="M94" i="3"/>
  <c r="L95" i="3" a="1"/>
  <c r="L95" i="3"/>
  <c r="M95" i="3"/>
  <c r="L96" i="3" a="1"/>
  <c r="L96" i="3"/>
  <c r="M96" i="3"/>
  <c r="L97" i="3" a="1"/>
  <c r="L97" i="3"/>
  <c r="M97" i="3"/>
  <c r="L98" i="3" a="1"/>
  <c r="L98" i="3"/>
  <c r="M98" i="3"/>
  <c r="D100" i="3"/>
  <c r="I107" i="3"/>
  <c r="G100" i="3"/>
  <c r="I106" i="3"/>
  <c r="C176" i="3"/>
  <c r="D144" i="3" a="1"/>
  <c r="D144" i="3"/>
  <c r="D142" i="3"/>
  <c r="D145" i="3"/>
  <c r="E144" i="3" a="1"/>
  <c r="E144" i="3"/>
  <c r="E142" i="3"/>
  <c r="E145" i="3"/>
  <c r="F144" i="3" a="1"/>
  <c r="F144" i="3"/>
  <c r="F142" i="3"/>
  <c r="F145" i="3"/>
  <c r="G144" i="3" a="1"/>
  <c r="G144" i="3"/>
  <c r="G142" i="3"/>
  <c r="G145" i="3"/>
  <c r="H144" i="3" a="1"/>
  <c r="H144" i="3"/>
  <c r="H142" i="3"/>
  <c r="H145" i="3"/>
  <c r="I144" i="3" a="1"/>
  <c r="I144" i="3"/>
  <c r="I142" i="3"/>
  <c r="I145" i="3"/>
  <c r="K145" i="3"/>
  <c r="I176" i="3"/>
  <c r="D176" i="3"/>
  <c r="K176" i="3"/>
  <c r="L195" i="3"/>
  <c r="I178" i="3"/>
  <c r="D220" i="3"/>
  <c r="F214" i="3"/>
  <c r="H214" i="3"/>
  <c r="I214" i="3"/>
  <c r="E220" i="3"/>
  <c r="F216" i="3"/>
  <c r="H216" i="3"/>
  <c r="I216" i="3"/>
  <c r="F220" i="3"/>
  <c r="C220" i="3"/>
  <c r="G220" i="3"/>
  <c r="K270" i="3"/>
  <c r="K269" i="3"/>
  <c r="D266" i="3"/>
  <c r="E270" i="3"/>
  <c r="D270" i="3"/>
  <c r="C237" i="3"/>
  <c r="C242" i="3"/>
  <c r="D237" i="3"/>
  <c r="D242" i="3"/>
  <c r="E237" i="3"/>
  <c r="E242" i="3"/>
  <c r="F237" i="3"/>
  <c r="F242" i="3"/>
  <c r="G237" i="3"/>
  <c r="G242" i="3"/>
  <c r="H237" i="3"/>
  <c r="H242" i="3"/>
  <c r="I237" i="3"/>
  <c r="I242" i="3"/>
  <c r="K242" i="3"/>
  <c r="G270" i="3"/>
  <c r="I270" i="3"/>
  <c r="D219" i="3"/>
  <c r="G213" i="3"/>
  <c r="H213" i="3"/>
  <c r="I213" i="3"/>
  <c r="E219" i="3"/>
  <c r="G215" i="3"/>
  <c r="H215" i="3"/>
  <c r="I215" i="3"/>
  <c r="F219" i="3"/>
  <c r="C219" i="3"/>
  <c r="G219" i="3"/>
  <c r="L267" i="3"/>
  <c r="L266" i="3"/>
  <c r="L265" i="3"/>
  <c r="L264" i="3"/>
  <c r="C249" i="3" a="1"/>
  <c r="C249" i="3"/>
  <c r="C247" i="3"/>
  <c r="C251" i="3"/>
  <c r="D247" i="3"/>
  <c r="D251" i="3"/>
  <c r="E247" i="3"/>
  <c r="E251" i="3"/>
  <c r="F249" i="3" a="1"/>
  <c r="F249" i="3"/>
  <c r="F247" i="3"/>
  <c r="F251" i="3"/>
  <c r="G249" i="3" a="1"/>
  <c r="G249" i="3"/>
  <c r="G247" i="3"/>
  <c r="G251" i="3"/>
  <c r="H249" i="3" a="1"/>
  <c r="H249" i="3"/>
  <c r="H247" i="3"/>
  <c r="H251" i="3"/>
  <c r="I249" i="3" a="1"/>
  <c r="I249" i="3"/>
  <c r="I247" i="3"/>
  <c r="I251" i="3"/>
  <c r="K251" i="3"/>
  <c r="I267" i="3"/>
  <c r="C229" i="3" a="1"/>
  <c r="C229" i="3"/>
  <c r="C230" i="3"/>
  <c r="D229" i="3" a="1"/>
  <c r="D229" i="3"/>
  <c r="D230" i="3"/>
  <c r="E229" i="3" a="1"/>
  <c r="E229" i="3"/>
  <c r="E230" i="3"/>
  <c r="F229" i="3" a="1"/>
  <c r="F229" i="3"/>
  <c r="F230" i="3"/>
  <c r="G229" i="3" a="1"/>
  <c r="G229" i="3"/>
  <c r="G230" i="3"/>
  <c r="H229" i="3" a="1"/>
  <c r="H229" i="3"/>
  <c r="H230" i="3"/>
  <c r="I229" i="3" a="1"/>
  <c r="I229" i="3"/>
  <c r="I230" i="3"/>
  <c r="K230" i="3"/>
  <c r="I265" i="3"/>
  <c r="C239" i="3" a="1"/>
  <c r="C239" i="3"/>
  <c r="C240" i="3"/>
  <c r="D239" i="3" a="1"/>
  <c r="D239" i="3"/>
  <c r="D240" i="3"/>
  <c r="E239" i="3" a="1"/>
  <c r="E239" i="3"/>
  <c r="E240" i="3"/>
  <c r="F239" i="3" a="1"/>
  <c r="F239" i="3"/>
  <c r="F240" i="3"/>
  <c r="G239" i="3" a="1"/>
  <c r="G239" i="3"/>
  <c r="G240" i="3"/>
  <c r="H239" i="3" a="1"/>
  <c r="H239" i="3"/>
  <c r="H240" i="3"/>
  <c r="I239" i="3" a="1"/>
  <c r="I239" i="3"/>
  <c r="I240" i="3"/>
  <c r="K240" i="3"/>
  <c r="I264" i="3"/>
  <c r="I93" i="3" a="1"/>
  <c r="I93" i="3"/>
  <c r="K93" i="3"/>
  <c r="I94" i="3" a="1"/>
  <c r="I94" i="3"/>
  <c r="K94" i="3"/>
  <c r="I95" i="3" a="1"/>
  <c r="I95" i="3"/>
  <c r="K95" i="3"/>
  <c r="I96" i="3" a="1"/>
  <c r="I96" i="3"/>
  <c r="K96" i="3"/>
  <c r="I97" i="3" a="1"/>
  <c r="I97" i="3"/>
  <c r="K97" i="3"/>
  <c r="I98" i="3" a="1"/>
  <c r="I98" i="3"/>
  <c r="K98" i="3"/>
  <c r="K99" i="3"/>
  <c r="F104" i="3"/>
  <c r="D221" i="3"/>
  <c r="C221" i="3"/>
  <c r="G221" i="3"/>
  <c r="G266" i="3"/>
  <c r="F266" i="3"/>
  <c r="H266" i="3"/>
  <c r="G267" i="3"/>
  <c r="F267" i="3"/>
  <c r="C265" i="3"/>
  <c r="C266" i="3"/>
  <c r="C267" i="3"/>
  <c r="C264" i="3"/>
  <c r="D265" i="3"/>
  <c r="D264" i="3"/>
  <c r="H267" i="3"/>
  <c r="K267" i="3"/>
  <c r="K266" i="3"/>
  <c r="K265" i="3"/>
  <c r="K264" i="3"/>
  <c r="K210" i="3"/>
  <c r="K209" i="3"/>
  <c r="K208" i="3"/>
  <c r="K207" i="3"/>
  <c r="K206" i="3"/>
  <c r="K205" i="3"/>
  <c r="K204" i="3"/>
  <c r="K203" i="3"/>
  <c r="D82" i="3"/>
  <c r="C82" i="3"/>
  <c r="G82" i="3"/>
  <c r="D80" i="3"/>
  <c r="C80" i="3"/>
  <c r="G74" i="3"/>
  <c r="H74" i="3"/>
  <c r="I74" i="3"/>
  <c r="E80" i="3"/>
  <c r="G76" i="3"/>
  <c r="H76" i="3"/>
  <c r="I76" i="3"/>
  <c r="F80" i="3"/>
  <c r="G80" i="3"/>
  <c r="D135" i="3"/>
  <c r="C135" i="3"/>
  <c r="G135" i="3"/>
  <c r="C134" i="3"/>
  <c r="D134" i="3"/>
  <c r="F128" i="3"/>
  <c r="H128" i="3"/>
  <c r="I128" i="3"/>
  <c r="E134" i="3"/>
  <c r="F130" i="3"/>
  <c r="H130" i="3"/>
  <c r="I130" i="3"/>
  <c r="F134" i="3"/>
  <c r="G134" i="3"/>
  <c r="C133" i="3"/>
  <c r="D133" i="3"/>
  <c r="H127" i="3"/>
  <c r="G127" i="3"/>
  <c r="I127" i="3"/>
  <c r="E133" i="3"/>
  <c r="H129" i="3"/>
  <c r="G129" i="3"/>
  <c r="I129" i="3"/>
  <c r="F133" i="3"/>
  <c r="G133" i="3"/>
  <c r="L179" i="3"/>
  <c r="L178" i="3"/>
  <c r="G179" i="3"/>
  <c r="F179" i="3"/>
  <c r="H179" i="3"/>
  <c r="C179" i="3"/>
  <c r="D179" i="3"/>
  <c r="L196" i="3"/>
  <c r="I179" i="3"/>
  <c r="K179" i="3"/>
  <c r="G178" i="3"/>
  <c r="F178" i="3"/>
  <c r="H178" i="3"/>
  <c r="C178" i="3"/>
  <c r="D178" i="3"/>
  <c r="K178" i="3"/>
  <c r="C177" i="3"/>
  <c r="D177" i="3"/>
  <c r="K177" i="3"/>
  <c r="L177" i="3"/>
  <c r="L176" i="3"/>
  <c r="C169" i="3"/>
  <c r="C171" i="3" a="1"/>
  <c r="C171" i="3"/>
  <c r="C172" i="3"/>
  <c r="D169" i="3"/>
  <c r="D171" i="3" a="1"/>
  <c r="D171" i="3"/>
  <c r="D172" i="3"/>
  <c r="E169" i="3"/>
  <c r="E171" i="3" a="1"/>
  <c r="E171" i="3"/>
  <c r="E172" i="3"/>
  <c r="F169" i="3"/>
  <c r="F171" i="3" a="1"/>
  <c r="F171" i="3"/>
  <c r="F172" i="3"/>
  <c r="G169" i="3"/>
  <c r="G171" i="3" a="1"/>
  <c r="G171" i="3"/>
  <c r="G172" i="3"/>
  <c r="H169" i="3"/>
  <c r="H171" i="3" a="1"/>
  <c r="H171" i="3"/>
  <c r="H172" i="3"/>
  <c r="I169" i="3"/>
  <c r="I171" i="3" a="1"/>
  <c r="I171" i="3"/>
  <c r="I172" i="3"/>
  <c r="K172" i="3"/>
  <c r="C160" i="3"/>
  <c r="C162" i="3" a="1"/>
  <c r="C162" i="3"/>
  <c r="C163" i="3"/>
  <c r="D160" i="3"/>
  <c r="D162" i="3" a="1"/>
  <c r="D162" i="3"/>
  <c r="D163" i="3"/>
  <c r="E160" i="3"/>
  <c r="E162" i="3" a="1"/>
  <c r="E162" i="3"/>
  <c r="E163" i="3"/>
  <c r="F160" i="3"/>
  <c r="F162" i="3" a="1"/>
  <c r="F162" i="3"/>
  <c r="F163" i="3"/>
  <c r="G160" i="3"/>
  <c r="G162" i="3" a="1"/>
  <c r="G162" i="3"/>
  <c r="G163" i="3"/>
  <c r="H160" i="3"/>
  <c r="H162" i="3" a="1"/>
  <c r="H162" i="3"/>
  <c r="H163" i="3"/>
  <c r="I160" i="3"/>
  <c r="I162" i="3" a="1"/>
  <c r="I162" i="3"/>
  <c r="I163" i="3"/>
  <c r="K163" i="3"/>
  <c r="K124" i="3"/>
  <c r="K123" i="3"/>
  <c r="K122" i="3"/>
  <c r="K121" i="3"/>
  <c r="K120" i="3"/>
  <c r="K119" i="3"/>
  <c r="K118" i="3"/>
  <c r="K117" i="3"/>
  <c r="I86" i="3" a="1"/>
  <c r="I86" i="3"/>
  <c r="K86" i="3"/>
  <c r="I87" i="3" a="1"/>
  <c r="I87" i="3"/>
  <c r="K87" i="3"/>
  <c r="I88" i="3" a="1"/>
  <c r="I88" i="3"/>
  <c r="K88" i="3"/>
  <c r="I89" i="3" a="1"/>
  <c r="I89" i="3"/>
  <c r="K89" i="3"/>
  <c r="I90" i="3" a="1"/>
  <c r="I90" i="3"/>
  <c r="K90" i="3"/>
  <c r="I91" i="3" a="1"/>
  <c r="I91" i="3"/>
  <c r="K91" i="3"/>
  <c r="K92" i="3"/>
  <c r="F105" i="3"/>
  <c r="K110" i="3"/>
  <c r="G106" i="3"/>
  <c r="H35" i="3"/>
  <c r="M37" i="3"/>
  <c r="D36" i="3"/>
  <c r="E36" i="3"/>
  <c r="F36" i="3"/>
  <c r="F38" i="3"/>
  <c r="F37" i="3"/>
  <c r="D38" i="3"/>
  <c r="E38" i="3"/>
  <c r="E37" i="3"/>
  <c r="AE35" i="3"/>
  <c r="D37" i="3"/>
  <c r="AE36" i="3"/>
  <c r="AD36" i="3"/>
  <c r="AD35" i="3"/>
  <c r="D34" i="3"/>
  <c r="D32" i="3"/>
  <c r="D33" i="3"/>
  <c r="Y36" i="3"/>
  <c r="F34" i="3"/>
  <c r="F32" i="3"/>
  <c r="F33" i="3"/>
  <c r="E34" i="3"/>
  <c r="E32" i="3"/>
  <c r="E33" i="3"/>
  <c r="Y35" i="3"/>
  <c r="X36" i="3"/>
  <c r="X35" i="3"/>
  <c r="V37" i="3"/>
  <c r="W37" i="3"/>
  <c r="K43" i="3"/>
  <c r="AC38" i="3"/>
  <c r="AB38" i="3"/>
  <c r="AC37" i="3"/>
  <c r="AB37" i="3"/>
  <c r="K45" i="3"/>
  <c r="W38" i="3"/>
  <c r="V38" i="3"/>
  <c r="S27" i="3" a="1"/>
  <c r="S27" i="3"/>
  <c r="R34" i="3"/>
  <c r="D110" i="3"/>
  <c r="E110" i="3"/>
  <c r="I110" i="3"/>
  <c r="C106" i="3"/>
  <c r="D106" i="3"/>
  <c r="H106" i="3"/>
  <c r="K107" i="3"/>
  <c r="C107" i="3"/>
  <c r="D107" i="3"/>
  <c r="G107" i="3"/>
  <c r="H107" i="3"/>
  <c r="K106" i="3"/>
  <c r="C105" i="3"/>
  <c r="D105" i="3"/>
  <c r="K105" i="3"/>
  <c r="C104" i="3"/>
  <c r="D104" i="3"/>
  <c r="K104" i="3"/>
  <c r="K65" i="3"/>
  <c r="K66" i="3"/>
  <c r="K67" i="3"/>
  <c r="K68" i="3"/>
  <c r="K69" i="3"/>
  <c r="K70" i="3"/>
  <c r="K71" i="3"/>
  <c r="K64" i="3"/>
  <c r="Q32" i="3" a="1"/>
  <c r="Q32" i="3"/>
  <c r="Q24" i="3"/>
  <c r="Q25" i="3"/>
  <c r="Q27" i="3" a="1"/>
  <c r="Q27" i="3"/>
  <c r="P24" i="3"/>
  <c r="K35" i="3"/>
  <c r="K36" i="3"/>
  <c r="M40" i="3"/>
  <c r="M35" i="3"/>
  <c r="M36" i="3"/>
  <c r="E42" i="3"/>
  <c r="E43" i="3"/>
  <c r="E44" i="3"/>
  <c r="E45" i="3"/>
  <c r="E46" i="3"/>
  <c r="E47" i="3"/>
  <c r="E48" i="3"/>
  <c r="E49" i="3"/>
  <c r="E41" i="3"/>
  <c r="H5" i="3"/>
  <c r="H6" i="3"/>
  <c r="H7" i="3"/>
  <c r="H8" i="3"/>
  <c r="H9" i="3"/>
  <c r="H10" i="3"/>
  <c r="H11" i="3"/>
  <c r="H12" i="3"/>
  <c r="H13" i="3"/>
  <c r="H14" i="3"/>
  <c r="H15" i="3"/>
  <c r="H16" i="3"/>
  <c r="H17" i="3"/>
  <c r="H18" i="3"/>
  <c r="H19" i="3"/>
  <c r="H20" i="3"/>
  <c r="H21" i="3"/>
  <c r="H22" i="3"/>
  <c r="H23" i="3"/>
  <c r="H24" i="3"/>
  <c r="H25" i="3"/>
  <c r="H27" i="3"/>
  <c r="G27" i="3"/>
  <c r="S9" i="3"/>
  <c r="L107" i="3"/>
  <c r="L106" i="3"/>
  <c r="L105" i="3"/>
  <c r="L104" i="3"/>
  <c r="G37" i="3" a="1"/>
  <c r="G37" i="3"/>
  <c r="G33" i="3" a="1"/>
  <c r="G33" i="3"/>
  <c r="E56" i="3"/>
  <c r="N6" i="3"/>
  <c r="N7" i="3"/>
  <c r="N8" i="3"/>
  <c r="N9" i="3"/>
  <c r="N10" i="3"/>
  <c r="N11" i="3"/>
  <c r="N12" i="3"/>
  <c r="N13" i="3"/>
  <c r="N14" i="3"/>
  <c r="N15" i="3"/>
  <c r="N16" i="3"/>
  <c r="N17" i="3"/>
  <c r="N18" i="3"/>
  <c r="N19" i="3"/>
  <c r="N20" i="3"/>
  <c r="N21" i="3"/>
  <c r="N22" i="3"/>
  <c r="N23" i="3"/>
  <c r="N24" i="3"/>
  <c r="N25" i="3"/>
  <c r="N27" i="3"/>
  <c r="Q7" i="3"/>
  <c r="Q8" i="3"/>
  <c r="L27" i="3"/>
  <c r="L28" i="3"/>
  <c r="R4" i="3"/>
  <c r="R5" i="3"/>
  <c r="R10" i="3"/>
  <c r="S17" i="3"/>
  <c r="S18" i="3"/>
  <c r="Q19" i="3"/>
  <c r="L4" i="1"/>
  <c r="N5" i="1"/>
  <c r="L5" i="1"/>
  <c r="L8" i="1"/>
  <c r="N6" i="1"/>
  <c r="N7" i="1"/>
  <c r="L6" i="1"/>
  <c r="L7" i="1"/>
  <c r="N8" i="1"/>
  <c r="L32" i="1"/>
  <c r="M32" i="1"/>
  <c r="M33" i="1"/>
  <c r="O33" i="1"/>
  <c r="O34" i="1"/>
  <c r="L33" i="1"/>
  <c r="N33" i="1"/>
  <c r="N34" i="1"/>
  <c r="N35" i="1"/>
  <c r="Q6" i="1"/>
  <c r="M4" i="2"/>
  <c r="O5" i="2"/>
  <c r="M5" i="2"/>
  <c r="M8" i="2"/>
  <c r="O6" i="2"/>
  <c r="O7" i="2"/>
  <c r="M6" i="2"/>
  <c r="M7" i="2"/>
  <c r="O8" i="2"/>
  <c r="M42" i="2"/>
  <c r="N42" i="2"/>
  <c r="N43" i="2"/>
  <c r="P43" i="2"/>
  <c r="P44" i="2"/>
  <c r="M43" i="2"/>
  <c r="O44" i="2"/>
  <c r="O45" i="2"/>
  <c r="R8" i="2"/>
  <c r="M10" i="2"/>
  <c r="M26" i="2"/>
  <c r="M27" i="2"/>
  <c r="S27" i="2"/>
  <c r="N26" i="2"/>
  <c r="N27" i="2"/>
  <c r="L16" i="1"/>
  <c r="L17" i="1"/>
  <c r="L18" i="1"/>
  <c r="L9" i="1"/>
  <c r="T17" i="1"/>
  <c r="T18" i="1"/>
  <c r="N17" i="1"/>
  <c r="N18" i="1"/>
  <c r="M16" i="1"/>
  <c r="P17" i="1"/>
  <c r="P18" i="1"/>
  <c r="R17" i="1"/>
  <c r="R18" i="1"/>
  <c r="V17" i="1"/>
  <c r="V18" i="1"/>
  <c r="U17" i="1"/>
  <c r="M17" i="1"/>
  <c r="M18" i="1"/>
  <c r="L19" i="1"/>
  <c r="D2" i="1"/>
  <c r="F2" i="1"/>
  <c r="S17" i="1"/>
  <c r="S18" i="1"/>
  <c r="R19" i="1"/>
  <c r="D4" i="1"/>
  <c r="Q17" i="1"/>
  <c r="Q18" i="1"/>
  <c r="W17" i="1"/>
  <c r="O17" i="1"/>
  <c r="P19" i="1"/>
  <c r="D3" i="1"/>
  <c r="U18" i="1"/>
  <c r="T19" i="1"/>
  <c r="F4" i="1"/>
  <c r="O18" i="1"/>
  <c r="N19" i="1"/>
  <c r="W18" i="1"/>
  <c r="V19" i="1"/>
  <c r="P20" i="1"/>
  <c r="R20" i="1"/>
  <c r="L10" i="1"/>
  <c r="L11" i="1"/>
  <c r="F3" i="1"/>
  <c r="N12" i="1"/>
  <c r="L38" i="1"/>
  <c r="L39" i="1"/>
  <c r="M38" i="1"/>
  <c r="M39" i="1"/>
  <c r="U33" i="1"/>
  <c r="U34" i="1"/>
  <c r="S33" i="1"/>
  <c r="S34" i="1"/>
  <c r="M34" i="1"/>
  <c r="W33" i="1"/>
  <c r="W34" i="1"/>
  <c r="Q33" i="1"/>
  <c r="Q34" i="1"/>
  <c r="V33" i="1"/>
  <c r="V34" i="1"/>
  <c r="L34" i="1"/>
  <c r="L35" i="1"/>
  <c r="T33" i="1"/>
  <c r="T34" i="1"/>
  <c r="P33" i="1"/>
  <c r="P34" i="1"/>
  <c r="R33" i="1"/>
  <c r="R34" i="1"/>
  <c r="M40" i="1"/>
  <c r="W39" i="1"/>
  <c r="W40" i="1"/>
  <c r="S39" i="1"/>
  <c r="S40" i="1"/>
  <c r="U39" i="1"/>
  <c r="U40" i="1"/>
  <c r="Q39" i="1"/>
  <c r="Q40" i="1"/>
  <c r="O39" i="1"/>
  <c r="O40" i="1"/>
  <c r="P39" i="1"/>
  <c r="P40" i="1"/>
  <c r="V39" i="1"/>
  <c r="V40" i="1"/>
  <c r="T39" i="1"/>
  <c r="T40" i="1"/>
  <c r="N39" i="1"/>
  <c r="N40" i="1"/>
  <c r="L40" i="1"/>
  <c r="L41" i="1"/>
  <c r="R39" i="1"/>
  <c r="R40" i="1"/>
  <c r="R35" i="1"/>
  <c r="T35" i="1"/>
  <c r="Q9" i="1"/>
  <c r="V41" i="1"/>
  <c r="P35" i="1"/>
  <c r="Q7" i="1"/>
  <c r="P41" i="1"/>
  <c r="V35" i="1"/>
  <c r="N41" i="1"/>
  <c r="T41" i="1"/>
  <c r="Q13" i="1"/>
  <c r="R41" i="1"/>
  <c r="Q12" i="1"/>
  <c r="Q8" i="1"/>
  <c r="Q11" i="1"/>
  <c r="V27" i="2"/>
  <c r="V28" i="2"/>
  <c r="R27" i="2"/>
  <c r="R28" i="2"/>
  <c r="P27" i="2"/>
  <c r="P28" i="2"/>
  <c r="O28" i="2"/>
  <c r="O29" i="2"/>
  <c r="F3" i="2"/>
  <c r="X27" i="2"/>
  <c r="X28" i="2"/>
  <c r="T27" i="2"/>
  <c r="T28" i="2"/>
  <c r="N28" i="2"/>
  <c r="M28" i="2"/>
  <c r="U27" i="2"/>
  <c r="O27" i="2"/>
  <c r="W27" i="2"/>
  <c r="U28" i="2"/>
  <c r="S28" i="2"/>
  <c r="S29" i="2"/>
  <c r="D4" i="2"/>
  <c r="Q27" i="2"/>
  <c r="Q28" i="2"/>
  <c r="W28" i="2"/>
  <c r="I2" i="1"/>
  <c r="I2" i="2"/>
  <c r="W29" i="2"/>
  <c r="F5" i="2"/>
  <c r="M29" i="2"/>
  <c r="D2" i="2"/>
  <c r="Q29" i="2"/>
  <c r="D3" i="2"/>
  <c r="U29" i="2"/>
  <c r="F4" i="2"/>
  <c r="F2" i="2"/>
  <c r="M11" i="2"/>
  <c r="M12" i="2"/>
  <c r="M33" i="2"/>
  <c r="M34" i="2"/>
  <c r="N33" i="2"/>
  <c r="N34" i="2"/>
  <c r="R34" i="2"/>
  <c r="R35" i="2"/>
  <c r="R43" i="2"/>
  <c r="R44" i="2"/>
  <c r="V43" i="2"/>
  <c r="V44" i="2"/>
  <c r="X43" i="2"/>
  <c r="X44" i="2"/>
  <c r="T43" i="2"/>
  <c r="T44" i="2"/>
  <c r="N44" i="2"/>
  <c r="S35" i="2"/>
  <c r="U34" i="2"/>
  <c r="M35" i="2"/>
  <c r="U35" i="2"/>
  <c r="O35" i="2"/>
  <c r="O34" i="2"/>
  <c r="Q35" i="2"/>
  <c r="W34" i="2"/>
  <c r="Q34" i="2"/>
  <c r="W35" i="2"/>
  <c r="S34" i="2"/>
  <c r="W44" i="2"/>
  <c r="W45" i="2"/>
  <c r="P34" i="2"/>
  <c r="P35" i="2"/>
  <c r="O36" i="2"/>
  <c r="P13" i="2"/>
  <c r="V34" i="2"/>
  <c r="V35" i="2"/>
  <c r="U36" i="2"/>
  <c r="P12" i="2"/>
  <c r="N35" i="2"/>
  <c r="M36" i="2"/>
  <c r="M39" i="2"/>
  <c r="T34" i="2"/>
  <c r="T35" i="2"/>
  <c r="M44" i="2"/>
  <c r="M45" i="2"/>
  <c r="U43" i="2"/>
  <c r="S43" i="2"/>
  <c r="Q43" i="2"/>
  <c r="Q44" i="2"/>
  <c r="Q45" i="2"/>
  <c r="R5" i="2"/>
  <c r="O43" i="2"/>
  <c r="U44" i="2"/>
  <c r="U45" i="2"/>
  <c r="R7" i="2"/>
  <c r="W43" i="2"/>
  <c r="S44" i="2"/>
  <c r="S45" i="2"/>
  <c r="R6" i="2"/>
  <c r="Q36" i="2"/>
  <c r="P10" i="2"/>
  <c r="S36" i="2"/>
  <c r="P11" i="2"/>
  <c r="X34" i="2"/>
  <c r="X35" i="2"/>
  <c r="W36" i="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<sst xmlns="http://schemas.openxmlformats.org/spreadsheetml/2006/main" count="1586" uniqueCount="498">
  <si>
    <t>Comprobación</t>
  </si>
  <si>
    <t>Calado</t>
  </si>
  <si>
    <t>D (Tons)</t>
  </si>
  <si>
    <t>Cálculo Cm con Desplazamiento</t>
  </si>
  <si>
    <t>LCB</t>
  </si>
  <si>
    <t>TPC</t>
  </si>
  <si>
    <t>XC</t>
  </si>
  <si>
    <t>Freeboard</t>
  </si>
  <si>
    <t>Draft (m)</t>
  </si>
  <si>
    <t>D (M/T)</t>
  </si>
  <si>
    <t>DWT (MT)</t>
  </si>
  <si>
    <t>LCF</t>
  </si>
  <si>
    <t>MTC</t>
  </si>
  <si>
    <t>XF</t>
  </si>
  <si>
    <t>Iindice menor</t>
  </si>
  <si>
    <t>TF</t>
  </si>
  <si>
    <t>Hidrostáticas</t>
  </si>
  <si>
    <t>D mayor</t>
  </si>
  <si>
    <t>Cdo my</t>
  </si>
  <si>
    <t>F</t>
  </si>
  <si>
    <t>Epp (M)</t>
  </si>
  <si>
    <t>D menor</t>
  </si>
  <si>
    <t>Cdo men</t>
  </si>
  <si>
    <t>T</t>
  </si>
  <si>
    <t>M</t>
  </si>
  <si>
    <t>Dif ind</t>
  </si>
  <si>
    <t>Dif cal</t>
  </si>
  <si>
    <t>S</t>
  </si>
  <si>
    <t>P</t>
  </si>
  <si>
    <t>Dif D</t>
  </si>
  <si>
    <t>W</t>
  </si>
  <si>
    <t>Water S.G.</t>
  </si>
  <si>
    <t>Dv (MT)</t>
  </si>
  <si>
    <t>Draft</t>
  </si>
  <si>
    <t xml:space="preserve"> DISP  </t>
  </si>
  <si>
    <t xml:space="preserve"> LCB  </t>
  </si>
  <si>
    <t xml:space="preserve"> LCF  </t>
  </si>
  <si>
    <t xml:space="preserve"> KMT  </t>
  </si>
  <si>
    <t xml:space="preserve"> MCT  </t>
  </si>
  <si>
    <t xml:space="preserve"> TPC  </t>
  </si>
  <si>
    <t xml:space="preserve"> CB  </t>
  </si>
  <si>
    <t>Dr</t>
  </si>
  <si>
    <t>Con X Dens</t>
  </si>
  <si>
    <t>Tc</t>
  </si>
  <si>
    <t xml:space="preserve"> m  </t>
  </si>
  <si>
    <t>m</t>
  </si>
  <si>
    <t>Cdo Brackish</t>
  </si>
  <si>
    <t xml:space="preserve"> t  </t>
  </si>
  <si>
    <t xml:space="preserve"> t/cm  </t>
  </si>
  <si>
    <t xml:space="preserve"> tm/cm  </t>
  </si>
  <si>
    <t>SALT WATER DATA</t>
  </si>
  <si>
    <t>Desplaz.</t>
  </si>
  <si>
    <t>KMT</t>
  </si>
  <si>
    <t>FRESH WATER DATA</t>
  </si>
  <si>
    <r>
      <t xml:space="preserve">Cv </t>
    </r>
    <r>
      <rPr>
        <sz val="8"/>
        <rFont val="Arial"/>
        <family val="2"/>
      </rPr>
      <t>(trazado)</t>
    </r>
  </si>
  <si>
    <t>Introducir calado de trazado en B2</t>
  </si>
  <si>
    <t>DATOS HIDROSTÁTICOS</t>
  </si>
  <si>
    <t>DATOS PARA CANDO SE INTRODUCE O CALADO EN B2</t>
  </si>
  <si>
    <t>Densidade</t>
  </si>
  <si>
    <t>Cm (S/W)</t>
  </si>
  <si>
    <t>DATOS PARA FW-Brackish</t>
  </si>
  <si>
    <t>DATOS PARA CANDO SE CALCULA Cm con D introducido en L3</t>
  </si>
  <si>
    <t>MCT</t>
  </si>
  <si>
    <t>PAD (mm)</t>
  </si>
  <si>
    <t>Cálculo Cm con Desplazamiento Salt Water</t>
  </si>
  <si>
    <t>Dimensiones Principales</t>
  </si>
  <si>
    <t>Capacidad bodegas</t>
  </si>
  <si>
    <t>Desp., en Rosca</t>
  </si>
  <si>
    <t>E total. (m)</t>
  </si>
  <si>
    <t xml:space="preserve">Cap. Bodegas grano (m3) </t>
  </si>
  <si>
    <t>Epp</t>
  </si>
  <si>
    <t>Cap. Bodegas balas (m3)</t>
  </si>
  <si>
    <t>ØG</t>
  </si>
  <si>
    <t>FWA</t>
  </si>
  <si>
    <t>Manga</t>
  </si>
  <si>
    <t>KG</t>
  </si>
  <si>
    <t>Puntal</t>
  </si>
  <si>
    <t xml:space="preserve"> 3 Grúas de 10 Tm</t>
  </si>
  <si>
    <t>Puntal a la 2ª Cta</t>
  </si>
  <si>
    <t xml:space="preserve"> 2 Grúas de 10 Tm acopladas por sistema Geminis (20 Tm)</t>
  </si>
  <si>
    <t>Potencia MP</t>
  </si>
  <si>
    <t>7.500 HP</t>
  </si>
  <si>
    <t>Francobordo</t>
  </si>
  <si>
    <t>Cdo (m)</t>
  </si>
  <si>
    <t>D (Tm)</t>
  </si>
  <si>
    <t>PM (Tm)</t>
  </si>
  <si>
    <t>ØC</t>
  </si>
  <si>
    <t>ØF</t>
  </si>
  <si>
    <t xml:space="preserve">Mu </t>
  </si>
  <si>
    <t>Cdo</t>
  </si>
  <si>
    <t>DESPL.</t>
  </si>
  <si>
    <t>Mu</t>
  </si>
  <si>
    <t>KMt</t>
  </si>
  <si>
    <t>KMl</t>
  </si>
  <si>
    <t>Cb</t>
  </si>
  <si>
    <t>Tm</t>
  </si>
  <si>
    <t>TmXm</t>
  </si>
  <si>
    <t>FRESH/  BRACKISH WATER DATA</t>
  </si>
  <si>
    <t>Sub. Vol.</t>
  </si>
  <si>
    <t>Introducir Calado en agua salada en B2</t>
  </si>
  <si>
    <t>Densidad</t>
  </si>
  <si>
    <t>Cm (SW)</t>
  </si>
  <si>
    <t xml:space="preserve">Introducir DESPLAZAMIENTO en L3 y la DENSIDAD del agua auga en N3 </t>
  </si>
  <si>
    <t>CORMORÁN</t>
  </si>
  <si>
    <t>M/N "PTA. BUITRA"</t>
  </si>
  <si>
    <t>Introducir Desplazamiento en M3 y la densidad del auga en O3</t>
  </si>
  <si>
    <t xml:space="preserve"> Corregido por densidad</t>
  </si>
  <si>
    <t>Corregido por densidad</t>
  </si>
  <si>
    <t>XC (m)</t>
  </si>
  <si>
    <t>XF (m)</t>
  </si>
  <si>
    <t>KMT (m)</t>
  </si>
  <si>
    <t>Vc (m3)</t>
  </si>
  <si>
    <t>LCB (m)</t>
  </si>
  <si>
    <t>LCF (m)</t>
  </si>
  <si>
    <t>Peso (Tm)</t>
  </si>
  <si>
    <t>ML (Tm x m)</t>
  </si>
  <si>
    <t>MV (Tm x m)</t>
  </si>
  <si>
    <t>FSM (Tm x m)</t>
  </si>
  <si>
    <t>VHM (m4)</t>
  </si>
  <si>
    <t>SF (m3/tm)</t>
  </si>
  <si>
    <t>CdG</t>
  </si>
  <si>
    <t>GHM (Tm x m)</t>
  </si>
  <si>
    <t>MT (Tm x m)</t>
  </si>
  <si>
    <t>I. Simple</t>
  </si>
  <si>
    <t>I. Doble</t>
  </si>
  <si>
    <t>D</t>
  </si>
  <si>
    <t>GHM max =</t>
  </si>
  <si>
    <t>KM =</t>
  </si>
  <si>
    <t>KN =</t>
  </si>
  <si>
    <t>GM (KM-KG)</t>
  </si>
  <si>
    <t>GMsl (GM-Csl)</t>
  </si>
  <si>
    <t>KGsl (KG+Csl)</t>
  </si>
  <si>
    <t>Φe * 180º/𝞹 rad  =</t>
  </si>
  <si>
    <t>λ0 = GHM/D</t>
  </si>
  <si>
    <t>λ40 = 0,8*λ0</t>
  </si>
  <si>
    <t>GZ40 = KN - KGslsen40-|LcG|cos40 =</t>
  </si>
  <si>
    <t>&gt; 0,075m*rad</t>
  </si>
  <si>
    <t>&lt;= 12º</t>
  </si>
  <si>
    <t>&gt;0,30 m</t>
  </si>
  <si>
    <t>&lt;=</t>
  </si>
  <si>
    <t xml:space="preserve">tgΦe=GHM/(D*GMsl)=&gt;Φe= </t>
  </si>
  <si>
    <t>ft3</t>
  </si>
  <si>
    <t>m3</t>
  </si>
  <si>
    <t>Fe</t>
  </si>
  <si>
    <t xml:space="preserve">Fe 1 = </t>
  </si>
  <si>
    <t xml:space="preserve">Fe 2 = </t>
  </si>
  <si>
    <t>Volumen</t>
  </si>
  <si>
    <t>Carga OB</t>
  </si>
  <si>
    <t>Alternativo de trincaje:</t>
  </si>
  <si>
    <t>Buque:</t>
  </si>
  <si>
    <t>Corr Tb3</t>
  </si>
  <si>
    <t>Corr Tb4</t>
  </si>
  <si>
    <t>fr</t>
  </si>
  <si>
    <t>ax Tb2</t>
  </si>
  <si>
    <t>ay Tb2</t>
  </si>
  <si>
    <t>az Tb2</t>
  </si>
  <si>
    <t>Carga:</t>
  </si>
  <si>
    <t>e</t>
  </si>
  <si>
    <t>w</t>
  </si>
  <si>
    <t>h</t>
  </si>
  <si>
    <t>𝜇</t>
  </si>
  <si>
    <t>a</t>
  </si>
  <si>
    <t>b Br</t>
  </si>
  <si>
    <t>b Er</t>
  </si>
  <si>
    <t>Dispositivos de sujección:</t>
  </si>
  <si>
    <t>Grill/Tensor</t>
  </si>
  <si>
    <t>Cabo Fibra</t>
  </si>
  <si>
    <t>Cable 1 uso</t>
  </si>
  <si>
    <t>Cable Reut</t>
  </si>
  <si>
    <t>Fleje acero</t>
  </si>
  <si>
    <t>Cincha</t>
  </si>
  <si>
    <t>Bulldog Grip</t>
  </si>
  <si>
    <t>Madera</t>
  </si>
  <si>
    <t>Aceleraciones corregidas:</t>
  </si>
  <si>
    <t>ax</t>
  </si>
  <si>
    <t>ay</t>
  </si>
  <si>
    <t>az</t>
  </si>
  <si>
    <t>Fw(x)</t>
  </si>
  <si>
    <t>Fw(y)</t>
  </si>
  <si>
    <t>Fs(x)</t>
  </si>
  <si>
    <t>Fs(y)</t>
  </si>
  <si>
    <t>KN</t>
  </si>
  <si>
    <t>Fw y Fs:</t>
  </si>
  <si>
    <t>CR</t>
  </si>
  <si>
    <t>Tm/KN</t>
  </si>
  <si>
    <t>Tb1</t>
  </si>
  <si>
    <t>MSL</t>
  </si>
  <si>
    <t>=</t>
  </si>
  <si>
    <t>Fuerzas externas:</t>
  </si>
  <si>
    <t>Fx</t>
  </si>
  <si>
    <t>Fy</t>
  </si>
  <si>
    <t>Fz</t>
  </si>
  <si>
    <t>ac</t>
  </si>
  <si>
    <t>Fw</t>
  </si>
  <si>
    <t>Fs</t>
  </si>
  <si>
    <t>Fext (KN)</t>
  </si>
  <si>
    <t>Trincas y CS:</t>
  </si>
  <si>
    <t>1 Er</t>
  </si>
  <si>
    <t>2 Er</t>
  </si>
  <si>
    <t>3 Er</t>
  </si>
  <si>
    <t>4 Er</t>
  </si>
  <si>
    <t>5 Er</t>
  </si>
  <si>
    <t>6 Er</t>
  </si>
  <si>
    <t>1 Br</t>
  </si>
  <si>
    <t>2 Br</t>
  </si>
  <si>
    <t>3 Br</t>
  </si>
  <si>
    <t>4 Br</t>
  </si>
  <si>
    <t>5 Br</t>
  </si>
  <si>
    <t>6 Br</t>
  </si>
  <si>
    <t>CS</t>
  </si>
  <si>
    <t>c</t>
  </si>
  <si>
    <t>α</t>
  </si>
  <si>
    <t>β</t>
  </si>
  <si>
    <t>Pr/Pp</t>
  </si>
  <si>
    <t>fy</t>
  </si>
  <si>
    <t>CS*fy</t>
  </si>
  <si>
    <t>fx</t>
  </si>
  <si>
    <t>CS*fx</t>
  </si>
  <si>
    <t>CS*c</t>
  </si>
  <si>
    <t>ΣCS*fy</t>
  </si>
  <si>
    <t>ΣCS*fx; Pr  =</t>
  </si>
  <si>
    <t>ΣCS*fx; Pp  =</t>
  </si>
  <si>
    <t>Equilibrio de fuerzas y momentos:</t>
  </si>
  <si>
    <t>Des.Trans. Er</t>
  </si>
  <si>
    <t>Des.Trans. Br</t>
  </si>
  <si>
    <t>g</t>
  </si>
  <si>
    <t>fz</t>
  </si>
  <si>
    <t>fz*FZ</t>
  </si>
  <si>
    <t>ΣCS*fx</t>
  </si>
  <si>
    <t>F.ext</t>
  </si>
  <si>
    <t>OK/No OK</t>
  </si>
  <si>
    <t>Vuelco Trans. Er</t>
  </si>
  <si>
    <t>Vuelco Trans. Br</t>
  </si>
  <si>
    <t>b</t>
  </si>
  <si>
    <t>0,9ΣCS*c Er</t>
  </si>
  <si>
    <t>0,9ΣCS*c Br</t>
  </si>
  <si>
    <t>Fy*a</t>
  </si>
  <si>
    <r>
      <t xml:space="preserve">Des. Long. </t>
    </r>
    <r>
      <rPr>
        <sz val="9"/>
        <rFont val="Arial"/>
        <family val="2"/>
      </rPr>
      <t>Pr</t>
    </r>
  </si>
  <si>
    <r>
      <t xml:space="preserve">Des. Long. </t>
    </r>
    <r>
      <rPr>
        <sz val="9"/>
        <rFont val="Arial"/>
        <family val="2"/>
      </rPr>
      <t>Pp</t>
    </r>
  </si>
  <si>
    <t>MSL (KN)</t>
  </si>
  <si>
    <t>ΣCS*c  Er   =</t>
  </si>
  <si>
    <t>ΣCS*c  Br   =</t>
  </si>
  <si>
    <t>ΣCS*fy Er</t>
  </si>
  <si>
    <t>ΣCS*fy Br</t>
  </si>
  <si>
    <t>Editar</t>
  </si>
  <si>
    <t>0.72</t>
  </si>
  <si>
    <t>0.84</t>
  </si>
  <si>
    <t>0.93</t>
  </si>
  <si>
    <t>1.00</t>
  </si>
  <si>
    <t>1.04</t>
  </si>
  <si>
    <t>1.02</t>
  </si>
  <si>
    <t>0.96</t>
  </si>
  <si>
    <t>0.92</t>
  </si>
  <si>
    <t>0.87</t>
  </si>
  <si>
    <t>0.76</t>
  </si>
  <si>
    <t>0.62</t>
  </si>
  <si>
    <t>0.47</t>
  </si>
  <si>
    <t>0.30</t>
  </si>
  <si>
    <t>0.70</t>
  </si>
  <si>
    <t>0.82</t>
  </si>
  <si>
    <t>0.98</t>
  </si>
  <si>
    <t>1.03</t>
  </si>
  <si>
    <t>0.95</t>
  </si>
  <si>
    <t>0.91</t>
  </si>
  <si>
    <t>0.86</t>
  </si>
  <si>
    <t>0.75</t>
  </si>
  <si>
    <t>0.60</t>
  </si>
  <si>
    <t>0.66</t>
  </si>
  <si>
    <t>0.78</t>
  </si>
  <si>
    <t>0.94</t>
  </si>
  <si>
    <t>0.99</t>
  </si>
  <si>
    <t>0.88</t>
  </si>
  <si>
    <t>0.83</t>
  </si>
  <si>
    <t>0.73</t>
  </si>
  <si>
    <t>0.46</t>
  </si>
  <si>
    <t>0.71</t>
  </si>
  <si>
    <t>0.80</t>
  </si>
  <si>
    <t>0.90</t>
  </si>
  <si>
    <t>0.79</t>
  </si>
  <si>
    <t>0.69</t>
  </si>
  <si>
    <t>0.58</t>
  </si>
  <si>
    <t>0.45</t>
  </si>
  <si>
    <t>0.51</t>
  </si>
  <si>
    <t>0.77</t>
  </si>
  <si>
    <t>0.81</t>
  </si>
  <si>
    <t>0.64</t>
  </si>
  <si>
    <t>0.54</t>
  </si>
  <si>
    <t>0.43</t>
  </si>
  <si>
    <t>0.41</t>
  </si>
  <si>
    <t>0.50</t>
  </si>
  <si>
    <t>0.67</t>
  </si>
  <si>
    <t>0.28</t>
  </si>
  <si>
    <t>0.37</t>
  </si>
  <si>
    <t>0.44</t>
  </si>
  <si>
    <t>0.57</t>
  </si>
  <si>
    <t>0.55</t>
  </si>
  <si>
    <t>0.38</t>
  </si>
  <si>
    <t>0.15</t>
  </si>
  <si>
    <t>0.22</t>
  </si>
  <si>
    <t>0.34</t>
  </si>
  <si>
    <t>0.39</t>
  </si>
  <si>
    <t>0.42</t>
  </si>
  <si>
    <t>0.40</t>
  </si>
  <si>
    <t>0.35</t>
  </si>
  <si>
    <t>0.00</t>
  </si>
  <si>
    <t>0.06</t>
  </si>
  <si>
    <t>0.12</t>
  </si>
  <si>
    <t>0.17</t>
  </si>
  <si>
    <t>0.27</t>
  </si>
  <si>
    <t>0.33</t>
  </si>
  <si>
    <t>-0.15</t>
  </si>
  <si>
    <t>-0.10</t>
  </si>
  <si>
    <t>-0.05</t>
  </si>
  <si>
    <t>0.05</t>
  </si>
  <si>
    <t>0.10</t>
  </si>
  <si>
    <t>0.19</t>
  </si>
  <si>
    <t>0.21</t>
  </si>
  <si>
    <t>0.23</t>
  </si>
  <si>
    <t>0.26</t>
  </si>
  <si>
    <t>β for fy</t>
  </si>
  <si>
    <t>β for fx</t>
  </si>
  <si>
    <t>1.05</t>
  </si>
  <si>
    <t>1.08</t>
  </si>
  <si>
    <t>1.07</t>
  </si>
  <si>
    <t>0.85</t>
  </si>
  <si>
    <t>0.65</t>
  </si>
  <si>
    <t>1.06</t>
  </si>
  <si>
    <t>1.01</t>
  </si>
  <si>
    <t>0.56</t>
  </si>
  <si>
    <t>0.61</t>
  </si>
  <si>
    <t>0.68</t>
  </si>
  <si>
    <t>0.53</t>
  </si>
  <si>
    <t>0.36</t>
  </si>
  <si>
    <t>0.74</t>
  </si>
  <si>
    <t>0.25</t>
  </si>
  <si>
    <t>0.63</t>
  </si>
  <si>
    <t>0.48</t>
  </si>
  <si>
    <t>0.18</t>
  </si>
  <si>
    <t>0.52</t>
  </si>
  <si>
    <t>0.49</t>
  </si>
  <si>
    <t>0.03</t>
  </si>
  <si>
    <t>0.24</t>
  </si>
  <si>
    <t>-0.20</t>
  </si>
  <si>
    <t>-0.14</t>
  </si>
  <si>
    <t>-0.07</t>
  </si>
  <si>
    <t>0.07</t>
  </si>
  <si>
    <t>0.14</t>
  </si>
  <si>
    <t>0.20</t>
  </si>
  <si>
    <t>0.31</t>
  </si>
  <si>
    <t>0.97</t>
  </si>
  <si>
    <t>0.89</t>
  </si>
  <si>
    <t>0.09</t>
  </si>
  <si>
    <t>-0.03</t>
  </si>
  <si>
    <t>0.13</t>
  </si>
  <si>
    <t>0.59</t>
  </si>
  <si>
    <t>0.29</t>
  </si>
  <si>
    <t>0.32</t>
  </si>
  <si>
    <t>0.16</t>
  </si>
  <si>
    <t>-0.02</t>
  </si>
  <si>
    <t>0.02</t>
  </si>
  <si>
    <t>0.08</t>
  </si>
  <si>
    <t>0.11</t>
  </si>
  <si>
    <t>X</t>
  </si>
  <si>
    <t>Y</t>
  </si>
  <si>
    <t>X/Y</t>
  </si>
  <si>
    <t>KGsl / D</t>
  </si>
  <si>
    <t>Punta da Buitra</t>
  </si>
  <si>
    <t>-</t>
  </si>
  <si>
    <t>KGsl =</t>
  </si>
  <si>
    <t>XG/LCG (m)</t>
  </si>
  <si>
    <t>KG/VCG (m)</t>
  </si>
  <si>
    <t>LcG/TCG (m)</t>
  </si>
  <si>
    <t>% Fill</t>
  </si>
  <si>
    <t>ML</t>
  </si>
  <si>
    <t>X? Reparto =</t>
  </si>
  <si>
    <t>Peso - X =</t>
  </si>
  <si>
    <t>X?</t>
  </si>
  <si>
    <t>P-X?</t>
  </si>
  <si>
    <t>KGsl/C</t>
  </si>
  <si>
    <t xml:space="preserve">    Cormorán</t>
  </si>
  <si>
    <t>Df</t>
  </si>
  <si>
    <t>Di</t>
  </si>
  <si>
    <t>LCG</t>
  </si>
  <si>
    <t>Csl (FSM/D)=</t>
  </si>
  <si>
    <t xml:space="preserve"> </t>
  </si>
  <si>
    <t xml:space="preserve">  </t>
  </si>
  <si>
    <t>E</t>
  </si>
  <si>
    <t>V</t>
  </si>
  <si>
    <t>E/V</t>
  </si>
  <si>
    <t>Cormorán</t>
  </si>
  <si>
    <t>D =</t>
  </si>
  <si>
    <t>C</t>
  </si>
  <si>
    <t>KN 40</t>
  </si>
  <si>
    <t>LT</t>
  </si>
  <si>
    <t>D/V:</t>
  </si>
  <si>
    <t>Fe 1</t>
  </si>
  <si>
    <t>Fe 2</t>
  </si>
  <si>
    <t>Fe1</t>
  </si>
  <si>
    <t>F34="Tm")</t>
  </si>
  <si>
    <t>F33</t>
  </si>
  <si>
    <t>0))))</t>
  </si>
  <si>
    <t>Fe2</t>
  </si>
  <si>
    <t>Tb 3</t>
  </si>
  <si>
    <t>fy / fx</t>
  </si>
  <si>
    <r>
      <rPr>
        <sz val="8"/>
        <rFont val="Arial"/>
        <family val="2"/>
      </rPr>
      <t>Conversión</t>
    </r>
    <r>
      <rPr>
        <sz val="10"/>
        <rFont val="Arial"/>
        <family val="2"/>
      </rPr>
      <t xml:space="preserve"> Fe</t>
    </r>
  </si>
  <si>
    <t>Pr</t>
  </si>
  <si>
    <t>Pp</t>
  </si>
  <si>
    <t>Grilletes</t>
  </si>
  <si>
    <t>Tensores</t>
  </si>
  <si>
    <t>Anillas-D</t>
  </si>
  <si>
    <t>Cade/Cincha</t>
  </si>
  <si>
    <t>Cable Reu</t>
  </si>
  <si>
    <t>Bulldog grip</t>
  </si>
  <si>
    <t>𝜇 Madera</t>
  </si>
  <si>
    <t>𝜇 Esteras</t>
  </si>
  <si>
    <t>¿Huecas?</t>
  </si>
  <si>
    <t>Paso Nº3</t>
  </si>
  <si>
    <t>Estribor</t>
  </si>
  <si>
    <t>Σ(kN)</t>
  </si>
  <si>
    <t>Nº Trincas</t>
  </si>
  <si>
    <t>MSL (kN)</t>
  </si>
  <si>
    <t>f (Tb 6)</t>
  </si>
  <si>
    <t>CS*f</t>
  </si>
  <si>
    <t>α/μ</t>
  </si>
  <si>
    <t>Babor</t>
  </si>
  <si>
    <t>Proa</t>
  </si>
  <si>
    <t>Popa</t>
  </si>
  <si>
    <t>ΣCS*f</t>
  </si>
  <si>
    <t>FZ</t>
  </si>
  <si>
    <t>Paso Nº5</t>
  </si>
  <si>
    <t>axc</t>
  </si>
  <si>
    <t>azc</t>
  </si>
  <si>
    <t>Fext</t>
  </si>
  <si>
    <t xml:space="preserve">Des. Long. </t>
  </si>
  <si>
    <t>F. Vertical</t>
  </si>
  <si>
    <t>Paso Nº6</t>
  </si>
  <si>
    <t>Stoppers Soldados</t>
  </si>
  <si>
    <t>Er</t>
  </si>
  <si>
    <t>Br</t>
  </si>
  <si>
    <t>Nº</t>
  </si>
  <si>
    <t>KN/cm2</t>
  </si>
  <si>
    <t>Cs</t>
  </si>
  <si>
    <t>Avanzado de trincaje:</t>
  </si>
  <si>
    <t>PCL</t>
  </si>
  <si>
    <t>CS*f*PCL</t>
  </si>
  <si>
    <t>ΣCS*f*PCL</t>
  </si>
  <si>
    <t>Deslizamiento</t>
  </si>
  <si>
    <t>ΣCS*c Er</t>
  </si>
  <si>
    <t>ΣCS*c Br</t>
  </si>
  <si>
    <t>KM</t>
  </si>
  <si>
    <t xml:space="preserve">        VHM - SF - GHM</t>
  </si>
  <si>
    <t xml:space="preserve">     MV - ML - MT - FSM</t>
  </si>
  <si>
    <t>Avanzado tuberías:</t>
  </si>
  <si>
    <t>C =</t>
  </si>
  <si>
    <r>
      <rPr>
        <b/>
        <sz val="9"/>
        <color rgb="FFFFFF99"/>
        <rFont val="Arial"/>
        <family val="2"/>
      </rPr>
      <t>Interpolación</t>
    </r>
    <r>
      <rPr>
        <sz val="9"/>
        <color rgb="FFFFFF99"/>
        <rFont val="Arial"/>
        <family val="2"/>
      </rPr>
      <t>:</t>
    </r>
  </si>
  <si>
    <t>L (cm)</t>
  </si>
  <si>
    <t>a (cm)</t>
  </si>
  <si>
    <t>H (cm)</t>
  </si>
  <si>
    <t>t (cm)</t>
  </si>
  <si>
    <t>Candelero</t>
  </si>
  <si>
    <t>Z</t>
  </si>
  <si>
    <t>Cpp</t>
  </si>
  <si>
    <r>
      <t>C</t>
    </r>
    <r>
      <rPr>
        <sz val="8"/>
        <rFont val="Arial"/>
        <family val="2"/>
      </rPr>
      <t>H</t>
    </r>
  </si>
  <si>
    <t>Apr</t>
  </si>
  <si>
    <t>App</t>
  </si>
  <si>
    <t>"+"</t>
  </si>
  <si>
    <r>
      <t>C</t>
    </r>
    <r>
      <rPr>
        <sz val="9"/>
        <rFont val="Arial"/>
        <family val="2"/>
      </rPr>
      <t>M</t>
    </r>
    <r>
      <rPr>
        <sz val="8"/>
        <rFont val="Arial"/>
        <family val="2"/>
      </rPr>
      <t>pr</t>
    </r>
  </si>
  <si>
    <r>
      <t>C</t>
    </r>
    <r>
      <rPr>
        <sz val="9"/>
        <rFont val="Arial"/>
        <family val="2"/>
      </rPr>
      <t>M</t>
    </r>
    <r>
      <rPr>
        <sz val="8"/>
        <rFont val="Arial"/>
        <family val="2"/>
      </rPr>
      <t>pp</t>
    </r>
  </si>
  <si>
    <r>
      <t>C</t>
    </r>
    <r>
      <rPr>
        <sz val="9"/>
        <rFont val="Arial"/>
        <family val="2"/>
      </rPr>
      <t>M</t>
    </r>
    <r>
      <rPr>
        <sz val="8"/>
        <rFont val="Arial"/>
        <family val="2"/>
      </rPr>
      <t>x</t>
    </r>
  </si>
  <si>
    <r>
      <t>C</t>
    </r>
    <r>
      <rPr>
        <sz val="8"/>
        <rFont val="Arial"/>
        <family val="2"/>
      </rPr>
      <t>on</t>
    </r>
    <r>
      <rPr>
        <sz val="9"/>
        <rFont val="Arial"/>
        <family val="2"/>
      </rPr>
      <t>M</t>
    </r>
    <r>
      <rPr>
        <sz val="8"/>
        <rFont val="Arial"/>
        <family val="2"/>
      </rPr>
      <t>pr</t>
    </r>
  </si>
  <si>
    <r>
      <t>C</t>
    </r>
    <r>
      <rPr>
        <sz val="8"/>
        <rFont val="Arial"/>
        <family val="2"/>
      </rPr>
      <t>on</t>
    </r>
    <r>
      <rPr>
        <sz val="9"/>
        <rFont val="Arial"/>
        <family val="2"/>
      </rPr>
      <t>M</t>
    </r>
    <r>
      <rPr>
        <sz val="8"/>
        <rFont val="Arial"/>
        <family val="2"/>
      </rPr>
      <t>pp</t>
    </r>
  </si>
  <si>
    <r>
      <t>C</t>
    </r>
    <r>
      <rPr>
        <sz val="9"/>
        <rFont val="Arial"/>
        <family val="2"/>
      </rPr>
      <t>P</t>
    </r>
    <r>
      <rPr>
        <sz val="8"/>
        <rFont val="Arial"/>
        <family val="2"/>
      </rPr>
      <t>pr</t>
    </r>
  </si>
  <si>
    <r>
      <t>C</t>
    </r>
    <r>
      <rPr>
        <sz val="9"/>
        <rFont val="Arial"/>
        <family val="2"/>
      </rPr>
      <t>P</t>
    </r>
    <r>
      <rPr>
        <sz val="8"/>
        <rFont val="Arial"/>
        <family val="2"/>
      </rPr>
      <t>pp</t>
    </r>
  </si>
  <si>
    <t>A/Q</t>
  </si>
  <si>
    <t>A (cm) =</t>
  </si>
  <si>
    <r>
      <rPr>
        <sz val="10"/>
        <color theme="4" tint="0.39997558519241921"/>
        <rFont val="Arial"/>
        <family val="2"/>
      </rPr>
      <t>.</t>
    </r>
    <r>
      <rPr>
        <sz val="10"/>
        <rFont val="Arial"/>
        <family val="2"/>
      </rPr>
      <t>+ EspK</t>
    </r>
  </si>
  <si>
    <t>B1</t>
  </si>
  <si>
    <t>B2</t>
  </si>
  <si>
    <t>B3</t>
  </si>
  <si>
    <t>B4</t>
  </si>
  <si>
    <t>B5</t>
  </si>
  <si>
    <t>VHM</t>
  </si>
  <si>
    <t>VCG</t>
  </si>
  <si>
    <t>VHM(Shft mom)</t>
  </si>
  <si>
    <r>
      <t>C</t>
    </r>
    <r>
      <rPr>
        <sz val="9"/>
        <rFont val="Arial"/>
        <family val="2"/>
      </rPr>
      <t>H</t>
    </r>
  </si>
  <si>
    <t>12431,5/ 536/ 10,12</t>
  </si>
  <si>
    <t>13349,5/ 688/ 10,21</t>
  </si>
  <si>
    <t>13351,3/ 688/ 10,21</t>
  </si>
  <si>
    <t>13349,6/ 688/ 10,21</t>
  </si>
  <si>
    <t>13265,4/ 688/ 10,52</t>
  </si>
  <si>
    <r>
      <t>AR=</t>
    </r>
    <r>
      <rPr>
        <sz val="8"/>
        <rFont val="Arial"/>
        <family val="2"/>
      </rPr>
      <t>(Gz-λ40)(40º-Φe)/2 *</t>
    </r>
    <r>
      <rPr>
        <sz val="10"/>
        <rFont val="Arial"/>
        <family val="2"/>
      </rPr>
      <t>𝞹</t>
    </r>
    <r>
      <rPr>
        <sz val="8"/>
        <rFont val="Arial"/>
        <family val="2"/>
      </rPr>
      <t>/180 =</t>
    </r>
  </si>
  <si>
    <t>Dp2BrEr</t>
  </si>
  <si>
    <t>Full</t>
  </si>
  <si>
    <t>Apopante</t>
  </si>
  <si>
    <t>&gt;11m</t>
  </si>
  <si>
    <t>Ni Arr Ni Queb</t>
  </si>
  <si>
    <t>Si</t>
  </si>
  <si>
    <t>Igual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</si>
</sst>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4" formatCode="_-* #,##0.00\ &quot;€&quot;_-;\-* #,##0.00\ &quot;€&quot;_-;_-* &quot;-&quot;??\ &quot;€&quot;_-;_-@_-"/>
    <numFmt numFmtId="164" formatCode="0.000"/>
    <numFmt numFmtId="165" formatCode="0.0000"/>
    <numFmt numFmtId="166" formatCode="0.0"/>
    <numFmt numFmtId="167" formatCode="0.00000"/>
    <numFmt numFmtId="168" formatCode="#,##0.000"/>
  </numFmts>
  <fonts count="58" x14ac:knownFonts="1">
    <font>
      <sz val="10"/>
      <name val="Arial"/>
    </font>
    <font>
      <sz val="10"/>
      <name val="Arial"/>
      <family val="2"/>
    </font>
    <font>
      <sz val="12"/>
      <name val="Arial"/>
      <family val="2"/>
    </font>
    <font>
      <sz val="8"/>
      <name val="Arial"/>
      <family val="2"/>
    </font>
    <font>
      <b/>
      <sz val="10"/>
      <color indexed="10"/>
      <name val="Arial"/>
      <family val="2"/>
    </font>
    <font>
      <sz val="10"/>
      <color indexed="10"/>
      <name val="Arial"/>
      <family val="2"/>
    </font>
    <font>
      <b/>
      <sz val="12"/>
      <name val="Arial"/>
      <family val="2"/>
    </font>
    <font>
      <b/>
      <sz val="10"/>
      <name val="Arial"/>
      <family val="2"/>
    </font>
    <font>
      <b/>
      <sz val="16"/>
      <name val="Arial"/>
      <family val="2"/>
    </font>
    <font>
      <b/>
      <sz val="10"/>
      <color indexed="12"/>
      <name val="Arial"/>
      <family val="2"/>
    </font>
    <font>
      <sz val="10"/>
      <name val="Arial"/>
      <family val="2"/>
    </font>
    <font>
      <sz val="10"/>
      <color indexed="10"/>
      <name val="Arial"/>
      <family val="2"/>
    </font>
    <font>
      <sz val="8"/>
      <name val="Arial"/>
      <family val="2"/>
    </font>
    <font>
      <sz val="10"/>
      <color indexed="12"/>
      <name val="Arial"/>
      <family val="2"/>
    </font>
    <font>
      <b/>
      <sz val="9"/>
      <color indexed="12"/>
      <name val="Arial"/>
      <family val="2"/>
    </font>
    <font>
      <b/>
      <sz val="14"/>
      <name val="Arial"/>
      <family val="2"/>
    </font>
    <font>
      <b/>
      <i/>
      <sz val="10"/>
      <name val="Arial"/>
      <family val="2"/>
    </font>
    <font>
      <b/>
      <sz val="10"/>
      <name val="Arial"/>
      <family val="2"/>
    </font>
    <font>
      <i/>
      <sz val="10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0"/>
      <name val="Symbol"/>
      <family val="1"/>
      <charset val="2"/>
    </font>
    <font>
      <sz val="10"/>
      <color indexed="12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1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sz val="11"/>
      <color indexed="52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i/>
      <sz val="11"/>
      <color indexed="23"/>
      <name val="Calibri"/>
      <family val="2"/>
    </font>
    <font>
      <sz val="11"/>
      <color indexed="20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2"/>
    </font>
    <font>
      <b/>
      <sz val="11"/>
      <color indexed="8"/>
      <name val="Calibri"/>
      <family val="2"/>
    </font>
    <font>
      <b/>
      <sz val="10"/>
      <color indexed="10"/>
      <name val="Arial"/>
      <family val="2"/>
    </font>
    <font>
      <b/>
      <sz val="9"/>
      <name val="Arial"/>
      <family val="2"/>
    </font>
    <font>
      <i/>
      <sz val="10"/>
      <color rgb="FFFF0000"/>
      <name val="Arial"/>
      <family val="2"/>
    </font>
    <font>
      <b/>
      <sz val="10"/>
      <color theme="0"/>
      <name val="Arial"/>
      <family val="2"/>
    </font>
    <font>
      <sz val="10"/>
      <color theme="0"/>
      <name val="Arial"/>
      <family val="2"/>
    </font>
    <font>
      <b/>
      <i/>
      <sz val="10"/>
      <color theme="0"/>
      <name val="Arial"/>
      <family val="2"/>
    </font>
    <font>
      <b/>
      <sz val="10"/>
      <color rgb="FF0000FF"/>
      <name val="Arial"/>
      <family val="2"/>
    </font>
    <font>
      <sz val="10"/>
      <color theme="1"/>
      <name val="Arial"/>
      <family val="2"/>
    </font>
    <font>
      <sz val="10"/>
      <color rgb="FFFF0000"/>
      <name val="Arial"/>
      <family val="2"/>
    </font>
    <font>
      <sz val="10"/>
      <color rgb="FF0070C0"/>
      <name val="Arial"/>
      <family val="2"/>
    </font>
    <font>
      <sz val="10"/>
      <color theme="1" tint="0.34998626667073579"/>
      <name val="Arial"/>
      <family val="2"/>
    </font>
    <font>
      <sz val="10"/>
      <color theme="4" tint="-0.249977111117893"/>
      <name val="Arial"/>
      <family val="2"/>
    </font>
    <font>
      <sz val="8"/>
      <name val="Arial"/>
    </font>
    <font>
      <sz val="10"/>
      <color rgb="FFFFFF99"/>
      <name val="Arial"/>
      <family val="2"/>
    </font>
    <font>
      <b/>
      <sz val="10"/>
      <color rgb="FFFFFF99"/>
      <name val="Arial"/>
      <family val="2"/>
    </font>
    <font>
      <b/>
      <sz val="9"/>
      <color rgb="FFFFFF99"/>
      <name val="Arial"/>
      <family val="2"/>
    </font>
    <font>
      <sz val="9"/>
      <color rgb="FFFFFF99"/>
      <name val="Arial"/>
      <family val="2"/>
    </font>
    <font>
      <sz val="10"/>
      <color theme="4" tint="0.39997558519241921"/>
      <name val="Arial"/>
      <family val="2"/>
    </font>
  </fonts>
  <fills count="41">
    <fill>
      <patternFill patternType="none"/>
    </fill>
    <fill>
      <patternFill patternType="gray125"/>
    </fill>
    <fill>
      <patternFill patternType="solid">
        <fgColor indexed="9"/>
      </patternFill>
    </fill>
    <fill>
      <patternFill patternType="solid">
        <fgColor indexed="47"/>
      </patternFill>
    </fill>
    <fill>
      <patternFill patternType="solid">
        <fgColor indexed="31"/>
      </patternFill>
    </fill>
    <fill>
      <patternFill patternType="solid">
        <fgColor indexed="2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46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22"/>
      </patternFill>
    </fill>
    <fill>
      <patternFill patternType="solid">
        <fgColor indexed="49"/>
      </patternFill>
    </fill>
    <fill>
      <patternFill patternType="solid">
        <fgColor indexed="55"/>
      </patternFill>
    </fill>
    <fill>
      <patternFill patternType="solid">
        <fgColor indexed="4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36"/>
      </patternFill>
    </fill>
    <fill>
      <patternFill patternType="solid">
        <fgColor indexed="53"/>
      </patternFill>
    </fill>
    <fill>
      <patternFill patternType="solid">
        <fgColor indexed="45"/>
      </patternFill>
    </fill>
    <fill>
      <patternFill patternType="solid">
        <fgColor indexed="43"/>
      </patternFill>
    </fill>
    <fill>
      <patternFill patternType="solid">
        <fgColor indexed="26"/>
      </patternFill>
    </fill>
    <fill>
      <patternFill patternType="solid">
        <fgColor indexed="43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2" tint="-0.74999237037263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rgb="FFFFC000"/>
        <bgColor indexed="64"/>
      </patternFill>
    </fill>
  </fills>
  <borders count="43">
    <border>
      <left/>
      <right/>
      <top/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double">
        <color indexed="52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/>
      <bottom/>
      <diagonal/>
    </border>
    <border>
      <left/>
      <right/>
      <top/>
      <bottom style="thin">
        <color indexed="64"/>
      </bottom>
      <diagonal/>
    </border>
    <border>
      <left style="double">
        <color indexed="12"/>
      </left>
      <right/>
      <top/>
      <bottom/>
      <diagonal/>
    </border>
    <border>
      <left style="double">
        <color indexed="12"/>
      </left>
      <right/>
      <top/>
      <bottom style="double">
        <color indexed="12"/>
      </bottom>
      <diagonal/>
    </border>
    <border>
      <left/>
      <right/>
      <top/>
      <bottom style="double">
        <color indexed="1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17"/>
      </left>
      <right/>
      <top style="thin">
        <color indexed="17"/>
      </top>
      <bottom/>
      <diagonal/>
    </border>
    <border>
      <left/>
      <right/>
      <top style="thin">
        <color indexed="17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17"/>
      </left>
      <right/>
      <top/>
      <bottom/>
      <diagonal/>
    </border>
    <border>
      <left style="thin">
        <color indexed="17"/>
      </left>
      <right/>
      <top/>
      <bottom style="thin">
        <color indexed="17"/>
      </bottom>
      <diagonal/>
    </border>
    <border>
      <left/>
      <right/>
      <top/>
      <bottom style="thin">
        <color indexed="17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17"/>
      </right>
      <top/>
      <bottom style="thin">
        <color indexed="17"/>
      </bottom>
      <diagonal/>
    </border>
    <border>
      <left/>
      <right style="double">
        <color indexed="12"/>
      </right>
      <top/>
      <bottom/>
      <diagonal/>
    </border>
    <border>
      <left/>
      <right style="double">
        <color indexed="12"/>
      </right>
      <top/>
      <bottom style="double">
        <color indexed="12"/>
      </bottom>
      <diagonal/>
    </border>
    <border>
      <left/>
      <right style="thin">
        <color indexed="17"/>
      </right>
      <top/>
      <bottom/>
      <diagonal/>
    </border>
    <border>
      <left/>
      <right style="thin">
        <color indexed="17"/>
      </right>
      <top style="thin">
        <color indexed="17"/>
      </top>
      <bottom/>
      <diagonal/>
    </border>
    <border>
      <left style="double">
        <color indexed="12"/>
      </left>
      <right/>
      <top style="double">
        <color indexed="12"/>
      </top>
      <bottom/>
      <diagonal/>
    </border>
    <border>
      <left/>
      <right/>
      <top style="double">
        <color indexed="12"/>
      </top>
      <bottom/>
      <diagonal/>
    </border>
    <border>
      <left/>
      <right style="double">
        <color indexed="12"/>
      </right>
      <top style="double">
        <color indexed="12"/>
      </top>
      <bottom/>
      <diagonal/>
    </border>
    <border>
      <left style="double">
        <color indexed="12"/>
      </left>
      <right/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theme="6" tint="0.39997558519241921"/>
      </top>
      <bottom style="thin">
        <color indexed="64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/>
      <right style="thin">
        <color indexed="64"/>
      </right>
      <top style="thin">
        <color theme="6" tint="0.39997558519241921"/>
      </top>
      <bottom/>
      <diagonal/>
    </border>
  </borders>
  <cellStyleXfs count="48">
    <xf numFmtId="0" fontId="0" fillId="0" borderId="0"/>
    <xf numFmtId="0" fontId="23" fillId="2" borderId="0" applyNumberFormat="0" applyBorder="0" applyAlignment="0" applyProtection="0"/>
    <xf numFmtId="0" fontId="23" fillId="3" borderId="0" applyNumberFormat="0" applyBorder="0" applyAlignment="0" applyProtection="0"/>
    <xf numFmtId="0" fontId="23" fillId="4" borderId="0" applyNumberFormat="0" applyBorder="0" applyAlignment="0" applyProtection="0"/>
    <xf numFmtId="0" fontId="23" fillId="2" borderId="0" applyNumberFormat="0" applyBorder="0" applyAlignment="0" applyProtection="0"/>
    <xf numFmtId="0" fontId="23" fillId="5" borderId="0" applyNumberFormat="0" applyBorder="0" applyAlignment="0" applyProtection="0"/>
    <xf numFmtId="0" fontId="23" fillId="3" borderId="0" applyNumberFormat="0" applyBorder="0" applyAlignment="0" applyProtection="0"/>
    <xf numFmtId="0" fontId="23" fillId="6" borderId="0" applyNumberFormat="0" applyBorder="0" applyAlignment="0" applyProtection="0"/>
    <xf numFmtId="0" fontId="23" fillId="7" borderId="0" applyNumberFormat="0" applyBorder="0" applyAlignment="0" applyProtection="0"/>
    <xf numFmtId="0" fontId="23" fillId="4" borderId="0" applyNumberFormat="0" applyBorder="0" applyAlignment="0" applyProtection="0"/>
    <xf numFmtId="0" fontId="23" fillId="8" borderId="0" applyNumberFormat="0" applyBorder="0" applyAlignment="0" applyProtection="0"/>
    <xf numFmtId="0" fontId="23" fillId="6" borderId="0" applyNumberFormat="0" applyBorder="0" applyAlignment="0" applyProtection="0"/>
    <xf numFmtId="0" fontId="23" fillId="9" borderId="0" applyNumberFormat="0" applyBorder="0" applyAlignment="0" applyProtection="0"/>
    <xf numFmtId="0" fontId="24" fillId="10" borderId="0" applyNumberFormat="0" applyBorder="0" applyAlignment="0" applyProtection="0"/>
    <xf numFmtId="0" fontId="24" fillId="7" borderId="0" applyNumberFormat="0" applyBorder="0" applyAlignment="0" applyProtection="0"/>
    <xf numFmtId="0" fontId="24" fillId="4" borderId="0" applyNumberFormat="0" applyBorder="0" applyAlignment="0" applyProtection="0"/>
    <xf numFmtId="0" fontId="24" fillId="11" borderId="0" applyNumberFormat="0" applyBorder="0" applyAlignment="0" applyProtection="0"/>
    <xf numFmtId="0" fontId="24" fillId="12" borderId="0" applyNumberFormat="0" applyBorder="0" applyAlignment="0" applyProtection="0"/>
    <xf numFmtId="0" fontId="24" fillId="3" borderId="0" applyNumberFormat="0" applyBorder="0" applyAlignment="0" applyProtection="0"/>
    <xf numFmtId="0" fontId="25" fillId="0" borderId="0" applyNumberFormat="0" applyFill="0" applyBorder="0" applyAlignment="0" applyProtection="0"/>
    <xf numFmtId="0" fontId="26" fillId="11" borderId="1" applyNumberFormat="0" applyAlignment="0" applyProtection="0"/>
    <xf numFmtId="0" fontId="27" fillId="13" borderId="2" applyNumberFormat="0" applyAlignment="0" applyProtection="0"/>
    <xf numFmtId="0" fontId="28" fillId="0" borderId="3" applyNumberFormat="0" applyFill="0" applyAlignment="0" applyProtection="0"/>
    <xf numFmtId="0" fontId="29" fillId="14" borderId="0" applyNumberFormat="0" applyBorder="0" applyAlignment="0" applyProtection="0"/>
    <xf numFmtId="0" fontId="30" fillId="0" borderId="4" applyNumberFormat="0" applyFill="0" applyAlignment="0" applyProtection="0"/>
    <xf numFmtId="0" fontId="31" fillId="0" borderId="5" applyNumberFormat="0" applyFill="0" applyAlignment="0" applyProtection="0"/>
    <xf numFmtId="0" fontId="32" fillId="0" borderId="6" applyNumberFormat="0" applyFill="0" applyAlignment="0" applyProtection="0"/>
    <xf numFmtId="0" fontId="32" fillId="0" borderId="0" applyNumberFormat="0" applyFill="0" applyBorder="0" applyAlignment="0" applyProtection="0"/>
    <xf numFmtId="0" fontId="24" fillId="15" borderId="0" applyNumberFormat="0" applyBorder="0" applyAlignment="0" applyProtection="0"/>
    <xf numFmtId="0" fontId="24" fillId="16" borderId="0" applyNumberFormat="0" applyBorder="0" applyAlignment="0" applyProtection="0"/>
    <xf numFmtId="0" fontId="24" fillId="17" borderId="0" applyNumberFormat="0" applyBorder="0" applyAlignment="0" applyProtection="0"/>
    <xf numFmtId="0" fontId="24" fillId="18" borderId="0" applyNumberFormat="0" applyBorder="0" applyAlignment="0" applyProtection="0"/>
    <xf numFmtId="0" fontId="24" fillId="12" borderId="0" applyNumberFormat="0" applyBorder="0" applyAlignment="0" applyProtection="0"/>
    <xf numFmtId="0" fontId="24" fillId="19" borderId="0" applyNumberFormat="0" applyBorder="0" applyAlignment="0" applyProtection="0"/>
    <xf numFmtId="0" fontId="33" fillId="3" borderId="1" applyNumberFormat="0" applyAlignment="0" applyProtection="0"/>
    <xf numFmtId="44" fontId="1" fillId="0" borderId="0" applyFont="0" applyFill="0" applyBorder="0" applyAlignment="0" applyProtection="0"/>
    <xf numFmtId="0" fontId="34" fillId="0" borderId="0" applyNumberFormat="0" applyFill="0" applyBorder="0" applyAlignment="0" applyProtection="0"/>
    <xf numFmtId="0" fontId="35" fillId="20" borderId="0" applyNumberFormat="0" applyBorder="0" applyAlignment="0" applyProtection="0"/>
    <xf numFmtId="0" fontId="36" fillId="21" borderId="0" applyNumberFormat="0" applyBorder="0" applyAlignment="0" applyProtection="0"/>
    <xf numFmtId="0" fontId="2" fillId="0" borderId="0"/>
    <xf numFmtId="0" fontId="1" fillId="0" borderId="0"/>
    <xf numFmtId="0" fontId="1" fillId="0" borderId="0"/>
    <xf numFmtId="0" fontId="1" fillId="22" borderId="7" applyNumberFormat="0" applyFont="0" applyAlignment="0" applyProtection="0"/>
    <xf numFmtId="0" fontId="37" fillId="11" borderId="8" applyNumberFormat="0" applyAlignment="0" applyProtection="0"/>
    <xf numFmtId="0" fontId="38" fillId="0" borderId="0" applyNumberFormat="0" applyFill="0" applyBorder="0" applyAlignment="0" applyProtection="0"/>
    <xf numFmtId="0" fontId="39" fillId="0" borderId="9" applyNumberFormat="0" applyFill="0" applyAlignment="0" applyProtection="0"/>
    <xf numFmtId="0" fontId="1" fillId="0" borderId="0"/>
    <xf numFmtId="44" fontId="1" fillId="0" borderId="0" applyFont="0" applyFill="0" applyBorder="0" applyAlignment="0" applyProtection="0"/>
  </cellStyleXfs>
  <cellXfs count="417">
    <xf numFmtId="0" fontId="0" fillId="0" borderId="0" xfId="0"/>
    <xf numFmtId="164" fontId="7" fillId="23" borderId="0" xfId="40" applyNumberFormat="1" applyFont="1" applyFill="1" applyAlignment="1" applyProtection="1">
      <alignment horizontal="center"/>
      <protection locked="0"/>
    </xf>
    <xf numFmtId="164" fontId="7" fillId="23" borderId="0" xfId="40" applyNumberFormat="1" applyFont="1" applyFill="1" applyProtection="1">
      <protection locked="0"/>
    </xf>
    <xf numFmtId="166" fontId="7" fillId="25" borderId="0" xfId="40" applyNumberFormat="1" applyFont="1" applyFill="1" applyProtection="1">
      <protection locked="0"/>
    </xf>
    <xf numFmtId="164" fontId="9" fillId="25" borderId="0" xfId="0" applyNumberFormat="1" applyFont="1" applyFill="1" applyAlignment="1" applyProtection="1">
      <alignment horizontal="center"/>
      <protection locked="0"/>
    </xf>
    <xf numFmtId="166" fontId="9" fillId="25" borderId="0" xfId="0" applyNumberFormat="1" applyFont="1" applyFill="1" applyProtection="1">
      <protection locked="0"/>
    </xf>
    <xf numFmtId="164" fontId="46" fillId="25" borderId="0" xfId="0" applyNumberFormat="1" applyFont="1" applyFill="1" applyProtection="1">
      <protection locked="0"/>
    </xf>
    <xf numFmtId="0" fontId="5" fillId="0" borderId="0" xfId="40" applyFont="1" applyAlignment="1" applyProtection="1">
      <alignment horizontal="center"/>
      <protection locked="0"/>
    </xf>
    <xf numFmtId="0" fontId="1" fillId="0" borderId="0" xfId="40" applyProtection="1">
      <protection locked="0"/>
    </xf>
    <xf numFmtId="0" fontId="40" fillId="0" borderId="0" xfId="40" applyFont="1" applyAlignment="1" applyProtection="1">
      <alignment horizontal="center"/>
      <protection locked="0"/>
    </xf>
    <xf numFmtId="0" fontId="0" fillId="0" borderId="0" xfId="0" applyProtection="1">
      <protection locked="0"/>
    </xf>
    <xf numFmtId="0" fontId="44" fillId="0" borderId="12" xfId="40" applyFont="1" applyBorder="1" applyAlignment="1" applyProtection="1">
      <alignment horizontal="center"/>
      <protection locked="0"/>
    </xf>
    <xf numFmtId="0" fontId="44" fillId="0" borderId="0" xfId="40" applyFont="1" applyProtection="1">
      <protection locked="0"/>
    </xf>
    <xf numFmtId="166" fontId="44" fillId="0" borderId="0" xfId="40" applyNumberFormat="1" applyFont="1" applyProtection="1">
      <protection locked="0"/>
    </xf>
    <xf numFmtId="166" fontId="5" fillId="0" borderId="0" xfId="40" applyNumberFormat="1" applyFont="1" applyProtection="1">
      <protection locked="0"/>
    </xf>
    <xf numFmtId="0" fontId="7" fillId="0" borderId="0" xfId="40" applyFont="1" applyAlignment="1" applyProtection="1">
      <alignment horizontal="center"/>
      <protection locked="0"/>
    </xf>
    <xf numFmtId="0" fontId="9" fillId="0" borderId="0" xfId="40" applyFont="1" applyAlignment="1" applyProtection="1">
      <alignment horizontal="right"/>
      <protection locked="0"/>
    </xf>
    <xf numFmtId="164" fontId="9" fillId="0" borderId="0" xfId="40" applyNumberFormat="1" applyFont="1" applyAlignment="1" applyProtection="1">
      <alignment horizontal="left"/>
      <protection locked="0"/>
    </xf>
    <xf numFmtId="2" fontId="44" fillId="0" borderId="0" xfId="40" applyNumberFormat="1" applyFont="1" applyProtection="1">
      <protection locked="0"/>
    </xf>
    <xf numFmtId="2" fontId="5" fillId="0" borderId="0" xfId="40" applyNumberFormat="1" applyFont="1" applyProtection="1">
      <protection locked="0"/>
    </xf>
    <xf numFmtId="166" fontId="41" fillId="0" borderId="0" xfId="40" applyNumberFormat="1" applyFont="1" applyProtection="1">
      <protection locked="0"/>
    </xf>
    <xf numFmtId="0" fontId="13" fillId="0" borderId="0" xfId="40" applyFont="1" applyProtection="1">
      <protection locked="0"/>
    </xf>
    <xf numFmtId="0" fontId="1" fillId="0" borderId="0" xfId="40" applyAlignment="1" applyProtection="1">
      <alignment horizontal="center"/>
      <protection locked="0"/>
    </xf>
    <xf numFmtId="2" fontId="13" fillId="0" borderId="0" xfId="40" applyNumberFormat="1" applyFont="1" applyProtection="1">
      <protection locked="0"/>
    </xf>
    <xf numFmtId="0" fontId="9" fillId="0" borderId="0" xfId="40" applyFont="1" applyProtection="1">
      <protection locked="0"/>
    </xf>
    <xf numFmtId="164" fontId="9" fillId="0" borderId="0" xfId="40" applyNumberFormat="1" applyFont="1" applyProtection="1">
      <protection locked="0"/>
    </xf>
    <xf numFmtId="2" fontId="1" fillId="0" borderId="0" xfId="40" applyNumberFormat="1" applyProtection="1">
      <protection locked="0"/>
    </xf>
    <xf numFmtId="2" fontId="7" fillId="0" borderId="0" xfId="40" applyNumberFormat="1" applyFont="1" applyProtection="1">
      <protection locked="0"/>
    </xf>
    <xf numFmtId="0" fontId="7" fillId="0" borderId="0" xfId="40" applyFont="1" applyAlignment="1" applyProtection="1">
      <alignment wrapText="1"/>
      <protection locked="0"/>
    </xf>
    <xf numFmtId="0" fontId="7" fillId="0" borderId="0" xfId="40" applyFont="1" applyProtection="1">
      <protection locked="0"/>
    </xf>
    <xf numFmtId="165" fontId="7" fillId="0" borderId="0" xfId="40" applyNumberFormat="1" applyFont="1" applyProtection="1">
      <protection locked="0"/>
    </xf>
    <xf numFmtId="166" fontId="1" fillId="0" borderId="0" xfId="40" applyNumberFormat="1" applyProtection="1">
      <protection locked="0"/>
    </xf>
    <xf numFmtId="166" fontId="7" fillId="0" borderId="0" xfId="40" applyNumberFormat="1" applyFont="1" applyProtection="1">
      <protection locked="0"/>
    </xf>
    <xf numFmtId="164" fontId="7" fillId="0" borderId="0" xfId="40" applyNumberFormat="1" applyFont="1" applyProtection="1">
      <protection locked="0"/>
    </xf>
    <xf numFmtId="0" fontId="7" fillId="0" borderId="0" xfId="39" applyFont="1" applyAlignment="1" applyProtection="1">
      <alignment horizontal="center"/>
      <protection locked="0"/>
    </xf>
    <xf numFmtId="164" fontId="1" fillId="0" borderId="0" xfId="40" applyNumberFormat="1" applyProtection="1">
      <protection locked="0"/>
    </xf>
    <xf numFmtId="165" fontId="9" fillId="0" borderId="0" xfId="40" applyNumberFormat="1" applyFont="1" applyProtection="1">
      <protection locked="0"/>
    </xf>
    <xf numFmtId="0" fontId="9" fillId="0" borderId="0" xfId="40" applyFont="1"/>
    <xf numFmtId="0" fontId="7" fillId="0" borderId="12" xfId="40" applyFont="1" applyBorder="1"/>
    <xf numFmtId="166" fontId="1" fillId="0" borderId="0" xfId="40" applyNumberFormat="1"/>
    <xf numFmtId="0" fontId="7" fillId="0" borderId="0" xfId="40" applyFont="1"/>
    <xf numFmtId="166" fontId="1" fillId="0" borderId="30" xfId="40" applyNumberFormat="1" applyBorder="1"/>
    <xf numFmtId="164" fontId="1" fillId="0" borderId="0" xfId="40" applyNumberFormat="1"/>
    <xf numFmtId="2" fontId="1" fillId="0" borderId="30" xfId="40" applyNumberFormat="1" applyBorder="1"/>
    <xf numFmtId="0" fontId="1" fillId="0" borderId="13" xfId="40" applyBorder="1"/>
    <xf numFmtId="0" fontId="1" fillId="0" borderId="14" xfId="40" applyBorder="1"/>
    <xf numFmtId="0" fontId="7" fillId="0" borderId="14" xfId="40" applyFont="1" applyBorder="1"/>
    <xf numFmtId="2" fontId="1" fillId="0" borderId="31" xfId="40" applyNumberFormat="1" applyBorder="1"/>
    <xf numFmtId="0" fontId="15" fillId="0" borderId="0" xfId="41" applyFont="1" applyAlignment="1">
      <alignment horizontal="right"/>
    </xf>
    <xf numFmtId="0" fontId="7" fillId="0" borderId="0" xfId="41" applyFont="1" applyAlignment="1">
      <alignment horizontal="center"/>
    </xf>
    <xf numFmtId="2" fontId="1" fillId="0" borderId="15" xfId="41" applyNumberFormat="1" applyBorder="1" applyAlignment="1">
      <alignment horizontal="right"/>
    </xf>
    <xf numFmtId="166" fontId="1" fillId="0" borderId="15" xfId="41" applyNumberFormat="1" applyBorder="1" applyAlignment="1">
      <alignment horizontal="center"/>
    </xf>
    <xf numFmtId="0" fontId="7" fillId="0" borderId="15" xfId="41" applyFont="1" applyBorder="1" applyAlignment="1">
      <alignment horizontal="center"/>
    </xf>
    <xf numFmtId="0" fontId="1" fillId="0" borderId="15" xfId="41" applyBorder="1" applyAlignment="1">
      <alignment horizontal="right"/>
    </xf>
    <xf numFmtId="0" fontId="1" fillId="0" borderId="0" xfId="41" applyAlignment="1">
      <alignment horizontal="right"/>
    </xf>
    <xf numFmtId="0" fontId="7" fillId="0" borderId="15" xfId="39" applyFont="1" applyBorder="1" applyAlignment="1">
      <alignment horizontal="center"/>
    </xf>
    <xf numFmtId="164" fontId="1" fillId="0" borderId="21" xfId="41" applyNumberFormat="1" applyBorder="1" applyAlignment="1">
      <alignment horizontal="center"/>
    </xf>
    <xf numFmtId="0" fontId="1" fillId="0" borderId="22" xfId="41" applyBorder="1"/>
    <xf numFmtId="2" fontId="1" fillId="0" borderId="22" xfId="41" applyNumberFormat="1" applyBorder="1" applyAlignment="1">
      <alignment horizontal="center"/>
    </xf>
    <xf numFmtId="2" fontId="1" fillId="0" borderId="23" xfId="41" applyNumberFormat="1" applyBorder="1" applyAlignment="1">
      <alignment horizontal="center"/>
    </xf>
    <xf numFmtId="0" fontId="1" fillId="0" borderId="0" xfId="41"/>
    <xf numFmtId="2" fontId="1" fillId="0" borderId="15" xfId="41" applyNumberFormat="1" applyBorder="1"/>
    <xf numFmtId="164" fontId="1" fillId="0" borderId="0" xfId="41" applyNumberFormat="1" applyAlignment="1">
      <alignment horizontal="left"/>
    </xf>
    <xf numFmtId="2" fontId="1" fillId="0" borderId="15" xfId="41" applyNumberFormat="1" applyBorder="1" applyAlignment="1">
      <alignment horizontal="center"/>
    </xf>
    <xf numFmtId="2" fontId="1" fillId="0" borderId="22" xfId="41" applyNumberFormat="1" applyBorder="1"/>
    <xf numFmtId="164" fontId="1" fillId="0" borderId="0" xfId="41" applyNumberFormat="1" applyAlignment="1">
      <alignment horizontal="center"/>
    </xf>
    <xf numFmtId="0" fontId="41" fillId="24" borderId="15" xfId="40" applyFont="1" applyFill="1" applyBorder="1" applyAlignment="1">
      <alignment horizontal="center"/>
    </xf>
    <xf numFmtId="0" fontId="7" fillId="24" borderId="15" xfId="40" applyFont="1" applyFill="1" applyBorder="1" applyAlignment="1">
      <alignment horizontal="center"/>
    </xf>
    <xf numFmtId="0" fontId="7" fillId="24" borderId="15" xfId="39" applyFont="1" applyFill="1" applyBorder="1" applyAlignment="1">
      <alignment horizontal="center"/>
    </xf>
    <xf numFmtId="0" fontId="7" fillId="24" borderId="15" xfId="41" applyFont="1" applyFill="1" applyBorder="1" applyAlignment="1">
      <alignment horizontal="center"/>
    </xf>
    <xf numFmtId="0" fontId="7" fillId="0" borderId="0" xfId="40" applyFont="1" applyAlignment="1">
      <alignment horizontal="center"/>
    </xf>
    <xf numFmtId="0" fontId="13" fillId="0" borderId="15" xfId="40" applyFont="1" applyBorder="1" applyAlignment="1">
      <alignment horizontal="center"/>
    </xf>
    <xf numFmtId="2" fontId="13" fillId="0" borderId="15" xfId="40" applyNumberFormat="1" applyFont="1" applyBorder="1" applyAlignment="1">
      <alignment horizontal="center"/>
    </xf>
    <xf numFmtId="0" fontId="13" fillId="0" borderId="0" xfId="40" applyFont="1" applyAlignment="1">
      <alignment horizontal="center"/>
    </xf>
    <xf numFmtId="164" fontId="9" fillId="0" borderId="15" xfId="40" applyNumberFormat="1" applyFont="1" applyBorder="1" applyAlignment="1">
      <alignment horizontal="center"/>
    </xf>
    <xf numFmtId="2" fontId="13" fillId="0" borderId="0" xfId="40" applyNumberFormat="1" applyFont="1" applyAlignment="1">
      <alignment horizontal="center"/>
    </xf>
    <xf numFmtId="0" fontId="1" fillId="0" borderId="15" xfId="40" applyBorder="1" applyAlignment="1">
      <alignment horizontal="center"/>
    </xf>
    <xf numFmtId="164" fontId="1" fillId="0" borderId="15" xfId="40" applyNumberFormat="1" applyBorder="1" applyAlignment="1">
      <alignment horizontal="center"/>
    </xf>
    <xf numFmtId="0" fontId="1" fillId="0" borderId="0" xfId="40" applyAlignment="1">
      <alignment horizontal="center"/>
    </xf>
    <xf numFmtId="0" fontId="7" fillId="0" borderId="15" xfId="40" applyFont="1" applyBorder="1" applyAlignment="1">
      <alignment horizontal="center"/>
    </xf>
    <xf numFmtId="164" fontId="7" fillId="0" borderId="15" xfId="40" applyNumberFormat="1" applyFont="1" applyBorder="1" applyAlignment="1">
      <alignment horizontal="center"/>
    </xf>
    <xf numFmtId="2" fontId="7" fillId="0" borderId="15" xfId="41" applyNumberFormat="1" applyFont="1" applyBorder="1" applyAlignment="1">
      <alignment horizontal="center"/>
    </xf>
    <xf numFmtId="0" fontId="1" fillId="0" borderId="0" xfId="40"/>
    <xf numFmtId="0" fontId="3" fillId="0" borderId="0" xfId="40" applyFont="1"/>
    <xf numFmtId="0" fontId="3" fillId="0" borderId="0" xfId="40" applyFont="1" applyAlignment="1">
      <alignment horizontal="right"/>
    </xf>
    <xf numFmtId="166" fontId="3" fillId="0" borderId="0" xfId="40" applyNumberFormat="1" applyFont="1" applyAlignment="1">
      <alignment horizontal="center"/>
    </xf>
    <xf numFmtId="0" fontId="6" fillId="0" borderId="27" xfId="39" applyFont="1" applyBorder="1" applyAlignment="1">
      <alignment horizontal="center"/>
    </xf>
    <xf numFmtId="0" fontId="6" fillId="0" borderId="27" xfId="41" applyFont="1" applyBorder="1" applyAlignment="1">
      <alignment horizontal="center"/>
    </xf>
    <xf numFmtId="0" fontId="1" fillId="0" borderId="28" xfId="41" applyBorder="1" applyAlignment="1">
      <alignment horizontal="center"/>
    </xf>
    <xf numFmtId="0" fontId="1" fillId="0" borderId="28" xfId="41" applyBorder="1"/>
    <xf numFmtId="3" fontId="1" fillId="0" borderId="15" xfId="41" applyNumberFormat="1" applyBorder="1" applyAlignment="1">
      <alignment horizontal="center"/>
    </xf>
    <xf numFmtId="1" fontId="1" fillId="0" borderId="15" xfId="41" applyNumberFormat="1" applyBorder="1" applyAlignment="1">
      <alignment horizontal="center"/>
    </xf>
    <xf numFmtId="164" fontId="1" fillId="0" borderId="15" xfId="41" applyNumberFormat="1" applyBorder="1" applyAlignment="1">
      <alignment horizontal="center"/>
    </xf>
    <xf numFmtId="2" fontId="1" fillId="23" borderId="15" xfId="41" applyNumberFormat="1" applyFill="1" applyBorder="1" applyAlignment="1">
      <alignment horizontal="center"/>
    </xf>
    <xf numFmtId="3" fontId="1" fillId="23" borderId="15" xfId="41" applyNumberFormat="1" applyFill="1" applyBorder="1" applyAlignment="1">
      <alignment horizontal="center"/>
    </xf>
    <xf numFmtId="166" fontId="1" fillId="23" borderId="15" xfId="41" applyNumberFormat="1" applyFill="1" applyBorder="1" applyAlignment="1">
      <alignment horizontal="center"/>
    </xf>
    <xf numFmtId="1" fontId="1" fillId="23" borderId="15" xfId="41" applyNumberFormat="1" applyFill="1" applyBorder="1" applyAlignment="1">
      <alignment horizontal="center"/>
    </xf>
    <xf numFmtId="164" fontId="1" fillId="23" borderId="15" xfId="41" applyNumberFormat="1" applyFill="1" applyBorder="1" applyAlignment="1">
      <alignment horizontal="center"/>
    </xf>
    <xf numFmtId="2" fontId="1" fillId="0" borderId="0" xfId="40" applyNumberFormat="1"/>
    <xf numFmtId="0" fontId="13" fillId="0" borderId="0" xfId="40" applyFont="1"/>
    <xf numFmtId="2" fontId="13" fillId="0" borderId="0" xfId="40" applyNumberFormat="1" applyFont="1"/>
    <xf numFmtId="164" fontId="7" fillId="0" borderId="0" xfId="40" applyNumberFormat="1" applyFont="1"/>
    <xf numFmtId="164" fontId="9" fillId="0" borderId="0" xfId="40" applyNumberFormat="1" applyFont="1"/>
    <xf numFmtId="0" fontId="43" fillId="0" borderId="19" xfId="40" applyFont="1" applyBorder="1"/>
    <xf numFmtId="2" fontId="43" fillId="0" borderId="20" xfId="40" applyNumberFormat="1" applyFont="1" applyBorder="1"/>
    <xf numFmtId="0" fontId="0" fillId="0" borderId="20" xfId="0" applyBorder="1"/>
    <xf numFmtId="0" fontId="7" fillId="0" borderId="20" xfId="40" applyFont="1" applyBorder="1"/>
    <xf numFmtId="164" fontId="1" fillId="0" borderId="33" xfId="40" applyNumberFormat="1" applyBorder="1"/>
    <xf numFmtId="0" fontId="44" fillId="0" borderId="24" xfId="40" applyFont="1" applyBorder="1"/>
    <xf numFmtId="2" fontId="44" fillId="0" borderId="0" xfId="40" applyNumberFormat="1" applyFont="1"/>
    <xf numFmtId="164" fontId="1" fillId="0" borderId="32" xfId="40" applyNumberFormat="1" applyBorder="1"/>
    <xf numFmtId="0" fontId="7" fillId="0" borderId="24" xfId="40" applyFont="1" applyBorder="1"/>
    <xf numFmtId="2" fontId="1" fillId="0" borderId="32" xfId="40" applyNumberFormat="1" applyBorder="1"/>
    <xf numFmtId="0" fontId="42" fillId="0" borderId="0" xfId="40" applyFont="1"/>
    <xf numFmtId="0" fontId="1" fillId="0" borderId="24" xfId="40" applyBorder="1"/>
    <xf numFmtId="0" fontId="1" fillId="0" borderId="25" xfId="40" applyBorder="1"/>
    <xf numFmtId="0" fontId="1" fillId="0" borderId="26" xfId="40" applyBorder="1"/>
    <xf numFmtId="2" fontId="1" fillId="0" borderId="26" xfId="40" applyNumberFormat="1" applyBorder="1"/>
    <xf numFmtId="0" fontId="1" fillId="0" borderId="29" xfId="40" applyBorder="1"/>
    <xf numFmtId="0" fontId="4" fillId="0" borderId="0" xfId="40" applyFont="1" applyAlignment="1">
      <alignment wrapText="1"/>
    </xf>
    <xf numFmtId="0" fontId="44" fillId="0" borderId="0" xfId="0" applyFont="1"/>
    <xf numFmtId="0" fontId="44" fillId="0" borderId="0" xfId="40" applyFont="1"/>
    <xf numFmtId="0" fontId="43" fillId="0" borderId="0" xfId="40" applyFont="1" applyAlignment="1">
      <alignment wrapText="1"/>
    </xf>
    <xf numFmtId="0" fontId="43" fillId="0" borderId="0" xfId="40" applyFont="1" applyAlignment="1">
      <alignment horizontal="center"/>
    </xf>
    <xf numFmtId="0" fontId="43" fillId="0" borderId="0" xfId="39" applyFont="1" applyAlignment="1">
      <alignment horizontal="center"/>
    </xf>
    <xf numFmtId="165" fontId="43" fillId="0" borderId="0" xfId="40" applyNumberFormat="1" applyFont="1"/>
    <xf numFmtId="166" fontId="44" fillId="0" borderId="0" xfId="40" applyNumberFormat="1" applyFont="1"/>
    <xf numFmtId="166" fontId="43" fillId="0" borderId="0" xfId="40" applyNumberFormat="1" applyFont="1"/>
    <xf numFmtId="2" fontId="43" fillId="0" borderId="0" xfId="40" applyNumberFormat="1" applyFont="1"/>
    <xf numFmtId="164" fontId="43" fillId="0" borderId="0" xfId="40" applyNumberFormat="1" applyFont="1"/>
    <xf numFmtId="164" fontId="44" fillId="0" borderId="0" xfId="40" applyNumberFormat="1" applyFont="1"/>
    <xf numFmtId="0" fontId="5" fillId="0" borderId="0" xfId="0" applyFont="1" applyAlignment="1" applyProtection="1">
      <alignment horizontal="center"/>
      <protection locked="0"/>
    </xf>
    <xf numFmtId="0" fontId="6" fillId="0" borderId="0" xfId="0" applyFont="1" applyProtection="1">
      <protection locked="0"/>
    </xf>
    <xf numFmtId="0" fontId="7" fillId="0" borderId="0" xfId="0" applyFont="1" applyProtection="1">
      <protection locked="0"/>
    </xf>
    <xf numFmtId="0" fontId="8" fillId="0" borderId="0" xfId="0" applyFont="1" applyProtection="1">
      <protection locked="0"/>
    </xf>
    <xf numFmtId="0" fontId="9" fillId="0" borderId="0" xfId="0" applyFont="1" applyProtection="1">
      <protection locked="0"/>
    </xf>
    <xf numFmtId="0" fontId="44" fillId="0" borderId="0" xfId="0" applyFont="1" applyAlignment="1" applyProtection="1">
      <alignment horizontal="center"/>
      <protection locked="0"/>
    </xf>
    <xf numFmtId="0" fontId="44" fillId="0" borderId="0" xfId="0" applyFont="1" applyProtection="1">
      <protection locked="0"/>
    </xf>
    <xf numFmtId="166" fontId="44" fillId="0" borderId="0" xfId="0" applyNumberFormat="1" applyFont="1" applyProtection="1">
      <protection locked="0"/>
    </xf>
    <xf numFmtId="166" fontId="11" fillId="0" borderId="0" xfId="0" applyNumberFormat="1" applyFont="1" applyProtection="1">
      <protection locked="0"/>
    </xf>
    <xf numFmtId="0" fontId="4" fillId="0" borderId="0" xfId="0" applyFont="1" applyAlignment="1" applyProtection="1">
      <alignment horizontal="center"/>
      <protection locked="0"/>
    </xf>
    <xf numFmtId="164" fontId="9" fillId="0" borderId="0" xfId="0" applyNumberFormat="1" applyFont="1" applyProtection="1">
      <protection locked="0"/>
    </xf>
    <xf numFmtId="2" fontId="0" fillId="0" borderId="0" xfId="0" applyNumberFormat="1" applyProtection="1">
      <protection locked="0"/>
    </xf>
    <xf numFmtId="0" fontId="7" fillId="0" borderId="0" xfId="0" applyFont="1" applyAlignment="1" applyProtection="1">
      <alignment horizontal="center"/>
      <protection locked="0"/>
    </xf>
    <xf numFmtId="2" fontId="44" fillId="0" borderId="0" xfId="0" applyNumberFormat="1" applyFont="1" applyProtection="1">
      <protection locked="0"/>
    </xf>
    <xf numFmtId="2" fontId="11" fillId="0" borderId="0" xfId="0" applyNumberFormat="1" applyFont="1" applyProtection="1">
      <protection locked="0"/>
    </xf>
    <xf numFmtId="166" fontId="14" fillId="0" borderId="0" xfId="0" applyNumberFormat="1" applyFont="1" applyProtection="1">
      <protection locked="0"/>
    </xf>
    <xf numFmtId="0" fontId="13" fillId="0" borderId="0" xfId="0" applyFont="1" applyProtection="1">
      <protection locked="0"/>
    </xf>
    <xf numFmtId="0" fontId="1" fillId="0" borderId="0" xfId="0" applyFont="1" applyProtection="1">
      <protection locked="0"/>
    </xf>
    <xf numFmtId="0" fontId="1" fillId="0" borderId="0" xfId="0" applyFont="1" applyAlignment="1" applyProtection="1">
      <alignment horizontal="right"/>
      <protection locked="0"/>
    </xf>
    <xf numFmtId="0" fontId="12" fillId="0" borderId="0" xfId="0" applyFont="1" applyAlignment="1" applyProtection="1">
      <alignment horizontal="right"/>
      <protection locked="0"/>
    </xf>
    <xf numFmtId="0" fontId="12" fillId="0" borderId="0" xfId="0" applyFont="1" applyAlignment="1" applyProtection="1">
      <alignment horizontal="center"/>
      <protection locked="0"/>
    </xf>
    <xf numFmtId="0" fontId="12" fillId="0" borderId="0" xfId="0" applyFont="1" applyAlignment="1" applyProtection="1">
      <alignment horizontal="center" wrapText="1"/>
      <protection locked="0"/>
    </xf>
    <xf numFmtId="0" fontId="10" fillId="0" borderId="0" xfId="0" applyFont="1" applyAlignment="1" applyProtection="1">
      <alignment horizontal="right"/>
      <protection locked="0"/>
    </xf>
    <xf numFmtId="2" fontId="1" fillId="0" borderId="0" xfId="0" applyNumberFormat="1" applyFont="1" applyAlignment="1" applyProtection="1">
      <alignment horizontal="right"/>
      <protection locked="0"/>
    </xf>
    <xf numFmtId="0" fontId="16" fillId="0" borderId="0" xfId="0" applyFont="1" applyProtection="1">
      <protection locked="0"/>
    </xf>
    <xf numFmtId="166" fontId="7" fillId="0" borderId="0" xfId="0" applyNumberFormat="1" applyFont="1" applyAlignment="1" applyProtection="1">
      <alignment horizontal="right"/>
      <protection locked="0"/>
    </xf>
    <xf numFmtId="0" fontId="7" fillId="0" borderId="0" xfId="0" applyFont="1" applyAlignment="1" applyProtection="1">
      <alignment horizontal="right"/>
      <protection locked="0"/>
    </xf>
    <xf numFmtId="164" fontId="7" fillId="0" borderId="0" xfId="0" applyNumberFormat="1" applyFont="1" applyAlignment="1" applyProtection="1">
      <alignment horizontal="right"/>
      <protection locked="0"/>
    </xf>
    <xf numFmtId="0" fontId="43" fillId="0" borderId="0" xfId="0" applyFont="1" applyProtection="1">
      <protection locked="0"/>
    </xf>
    <xf numFmtId="0" fontId="0" fillId="0" borderId="0" xfId="0" applyAlignment="1" applyProtection="1">
      <alignment horizontal="center"/>
      <protection locked="0"/>
    </xf>
    <xf numFmtId="164" fontId="0" fillId="0" borderId="0" xfId="0" applyNumberFormat="1" applyProtection="1">
      <protection locked="0"/>
    </xf>
    <xf numFmtId="2" fontId="43" fillId="0" borderId="0" xfId="0" applyNumberFormat="1" applyFont="1" applyProtection="1">
      <protection locked="0"/>
    </xf>
    <xf numFmtId="2" fontId="7" fillId="0" borderId="0" xfId="0" applyNumberFormat="1" applyFont="1" applyProtection="1">
      <protection locked="0"/>
    </xf>
    <xf numFmtId="164" fontId="7" fillId="0" borderId="0" xfId="0" applyNumberFormat="1" applyFont="1" applyProtection="1">
      <protection locked="0"/>
    </xf>
    <xf numFmtId="0" fontId="3" fillId="0" borderId="0" xfId="0" applyFont="1" applyProtection="1">
      <protection locked="0"/>
    </xf>
    <xf numFmtId="2" fontId="3" fillId="0" borderId="0" xfId="0" applyNumberFormat="1" applyFont="1" applyProtection="1">
      <protection locked="0"/>
    </xf>
    <xf numFmtId="2" fontId="19" fillId="0" borderId="0" xfId="0" applyNumberFormat="1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1" fillId="0" borderId="0" xfId="0" applyNumberFormat="1" applyFont="1" applyProtection="1">
      <protection locked="0"/>
    </xf>
    <xf numFmtId="166" fontId="1" fillId="0" borderId="0" xfId="0" applyNumberFormat="1" applyFont="1" applyProtection="1">
      <protection locked="0"/>
    </xf>
    <xf numFmtId="2" fontId="7" fillId="0" borderId="0" xfId="0" applyNumberFormat="1" applyFont="1" applyAlignment="1" applyProtection="1">
      <alignment horizontal="right"/>
      <protection locked="0"/>
    </xf>
    <xf numFmtId="0" fontId="13" fillId="0" borderId="0" xfId="0" applyFont="1" applyAlignment="1" applyProtection="1">
      <alignment horizontal="right"/>
      <protection locked="0"/>
    </xf>
    <xf numFmtId="164" fontId="13" fillId="0" borderId="0" xfId="0" applyNumberFormat="1" applyFont="1" applyProtection="1">
      <protection locked="0"/>
    </xf>
    <xf numFmtId="0" fontId="21" fillId="0" borderId="0" xfId="0" applyFont="1" applyAlignment="1" applyProtection="1">
      <alignment horizontal="right"/>
      <protection locked="0"/>
    </xf>
    <xf numFmtId="164" fontId="1" fillId="0" borderId="0" xfId="0" applyNumberFormat="1" applyFont="1" applyProtection="1">
      <protection locked="0"/>
    </xf>
    <xf numFmtId="166" fontId="7" fillId="0" borderId="0" xfId="0" applyNumberFormat="1" applyFont="1" applyProtection="1">
      <protection locked="0"/>
    </xf>
    <xf numFmtId="165" fontId="7" fillId="0" borderId="0" xfId="0" applyNumberFormat="1" applyFont="1" applyProtection="1">
      <protection locked="0"/>
    </xf>
    <xf numFmtId="0" fontId="9" fillId="0" borderId="0" xfId="0" applyFont="1" applyAlignment="1" applyProtection="1">
      <alignment horizontal="center"/>
      <protection locked="0"/>
    </xf>
    <xf numFmtId="0" fontId="22" fillId="0" borderId="0" xfId="0" applyFont="1" applyAlignment="1" applyProtection="1">
      <alignment horizontal="right"/>
      <protection locked="0"/>
    </xf>
    <xf numFmtId="2" fontId="13" fillId="0" borderId="0" xfId="0" applyNumberFormat="1" applyFont="1" applyProtection="1">
      <protection locked="0"/>
    </xf>
    <xf numFmtId="0" fontId="9" fillId="0" borderId="0" xfId="0" applyFont="1"/>
    <xf numFmtId="0" fontId="7" fillId="0" borderId="12" xfId="0" applyFont="1" applyBorder="1"/>
    <xf numFmtId="166" fontId="1" fillId="0" borderId="0" xfId="0" applyNumberFormat="1" applyFont="1"/>
    <xf numFmtId="0" fontId="7" fillId="0" borderId="0" xfId="0" applyFont="1"/>
    <xf numFmtId="166" fontId="1" fillId="0" borderId="30" xfId="0" applyNumberFormat="1" applyFont="1" applyBorder="1"/>
    <xf numFmtId="164" fontId="1" fillId="0" borderId="0" xfId="0" applyNumberFormat="1" applyFont="1"/>
    <xf numFmtId="2" fontId="1" fillId="0" borderId="30" xfId="0" applyNumberFormat="1" applyFont="1" applyBorder="1"/>
    <xf numFmtId="0" fontId="7" fillId="0" borderId="13" xfId="0" applyFont="1" applyBorder="1"/>
    <xf numFmtId="164" fontId="1" fillId="0" borderId="14" xfId="0" applyNumberFormat="1" applyFont="1" applyBorder="1"/>
    <xf numFmtId="0" fontId="7" fillId="0" borderId="14" xfId="0" applyFont="1" applyBorder="1"/>
    <xf numFmtId="2" fontId="1" fillId="0" borderId="31" xfId="0" applyNumberFormat="1" applyFont="1" applyBorder="1"/>
    <xf numFmtId="0" fontId="15" fillId="0" borderId="0" xfId="0" applyFont="1"/>
    <xf numFmtId="0" fontId="6" fillId="0" borderId="0" xfId="0" applyFont="1"/>
    <xf numFmtId="0" fontId="0" fillId="0" borderId="0" xfId="0" applyAlignment="1">
      <alignment horizontal="center"/>
    </xf>
    <xf numFmtId="0" fontId="1" fillId="0" borderId="0" xfId="0" applyFont="1"/>
    <xf numFmtId="0" fontId="1" fillId="0" borderId="0" xfId="0" applyFont="1" applyAlignment="1">
      <alignment horizontal="right"/>
    </xf>
    <xf numFmtId="0" fontId="12" fillId="0" borderId="0" xfId="0" applyFont="1"/>
    <xf numFmtId="0" fontId="12" fillId="0" borderId="0" xfId="0" applyFont="1" applyAlignment="1">
      <alignment horizontal="right"/>
    </xf>
    <xf numFmtId="0" fontId="12" fillId="0" borderId="0" xfId="0" applyFont="1" applyAlignment="1">
      <alignment horizontal="center"/>
    </xf>
    <xf numFmtId="0" fontId="10" fillId="0" borderId="0" xfId="0" applyFont="1" applyAlignment="1">
      <alignment horizontal="right"/>
    </xf>
    <xf numFmtId="166" fontId="12" fillId="0" borderId="0" xfId="0" applyNumberFormat="1" applyFont="1" applyAlignment="1">
      <alignment horizontal="center"/>
    </xf>
    <xf numFmtId="2" fontId="1" fillId="0" borderId="0" xfId="0" applyNumberFormat="1" applyFont="1" applyAlignment="1">
      <alignment horizontal="right"/>
    </xf>
    <xf numFmtId="164" fontId="10" fillId="0" borderId="0" xfId="0" applyNumberFormat="1" applyFont="1" applyAlignment="1">
      <alignment horizontal="right"/>
    </xf>
    <xf numFmtId="166" fontId="1" fillId="0" borderId="0" xfId="0" applyNumberFormat="1" applyFont="1" applyAlignment="1">
      <alignment horizontal="right"/>
    </xf>
    <xf numFmtId="0" fontId="7" fillId="0" borderId="0" xfId="0" applyFont="1" applyAlignment="1">
      <alignment horizontal="center"/>
    </xf>
    <xf numFmtId="2" fontId="0" fillId="0" borderId="0" xfId="0" applyNumberFormat="1"/>
    <xf numFmtId="164" fontId="0" fillId="0" borderId="0" xfId="0" applyNumberFormat="1"/>
    <xf numFmtId="2" fontId="1" fillId="0" borderId="0" xfId="0" applyNumberFormat="1" applyFont="1"/>
    <xf numFmtId="0" fontId="17" fillId="0" borderId="0" xfId="0" applyFont="1"/>
    <xf numFmtId="164" fontId="17" fillId="0" borderId="0" xfId="0" applyNumberFormat="1" applyFont="1"/>
    <xf numFmtId="164" fontId="43" fillId="0" borderId="0" xfId="0" applyNumberFormat="1" applyFont="1"/>
    <xf numFmtId="2" fontId="43" fillId="0" borderId="0" xfId="0" applyNumberFormat="1" applyFont="1"/>
    <xf numFmtId="2" fontId="44" fillId="0" borderId="0" xfId="0" applyNumberFormat="1" applyFont="1"/>
    <xf numFmtId="0" fontId="7" fillId="0" borderId="0" xfId="0" applyFont="1" applyAlignment="1">
      <alignment horizontal="right"/>
    </xf>
    <xf numFmtId="2" fontId="7" fillId="0" borderId="0" xfId="0" applyNumberFormat="1" applyFont="1"/>
    <xf numFmtId="0" fontId="18" fillId="0" borderId="0" xfId="0" applyFont="1"/>
    <xf numFmtId="164" fontId="7" fillId="0" borderId="0" xfId="0" applyNumberFormat="1" applyFont="1"/>
    <xf numFmtId="0" fontId="42" fillId="0" borderId="0" xfId="0" applyFont="1"/>
    <xf numFmtId="166" fontId="43" fillId="0" borderId="0" xfId="0" applyNumberFormat="1" applyFont="1"/>
    <xf numFmtId="0" fontId="43" fillId="0" borderId="0" xfId="0" applyFont="1" applyAlignment="1">
      <alignment horizontal="center"/>
    </xf>
    <xf numFmtId="0" fontId="43" fillId="0" borderId="0" xfId="0" applyFont="1"/>
    <xf numFmtId="0" fontId="45" fillId="0" borderId="0" xfId="0" applyFont="1"/>
    <xf numFmtId="165" fontId="43" fillId="0" borderId="0" xfId="0" applyNumberFormat="1" applyFont="1"/>
    <xf numFmtId="0" fontId="9" fillId="0" borderId="0" xfId="0" applyFont="1" applyAlignment="1">
      <alignment horizontal="right"/>
    </xf>
    <xf numFmtId="0" fontId="3" fillId="0" borderId="0" xfId="0" applyFont="1"/>
    <xf numFmtId="2" fontId="3" fillId="0" borderId="0" xfId="0" applyNumberFormat="1" applyFont="1"/>
    <xf numFmtId="2" fontId="19" fillId="0" borderId="0" xfId="0" applyNumberFormat="1" applyFont="1"/>
    <xf numFmtId="0" fontId="20" fillId="0" borderId="0" xfId="0" applyFont="1" applyAlignment="1">
      <alignment horizontal="right"/>
    </xf>
    <xf numFmtId="0" fontId="0" fillId="0" borderId="0" xfId="0" applyAlignment="1">
      <alignment horizontal="right"/>
    </xf>
    <xf numFmtId="2" fontId="7" fillId="0" borderId="0" xfId="0" applyNumberFormat="1" applyFont="1" applyAlignment="1">
      <alignment horizontal="right"/>
    </xf>
    <xf numFmtId="0" fontId="13" fillId="0" borderId="0" xfId="0" applyFont="1" applyAlignment="1">
      <alignment horizontal="right"/>
    </xf>
    <xf numFmtId="164" fontId="13" fillId="0" borderId="0" xfId="0" applyNumberFormat="1" applyFont="1"/>
    <xf numFmtId="0" fontId="21" fillId="0" borderId="0" xfId="0" applyFont="1" applyAlignment="1">
      <alignment horizontal="right"/>
    </xf>
    <xf numFmtId="166" fontId="7" fillId="0" borderId="0" xfId="0" applyNumberFormat="1" applyFont="1"/>
    <xf numFmtId="0" fontId="4" fillId="0" borderId="0" xfId="0" applyFont="1" applyAlignment="1">
      <alignment horizontal="center"/>
    </xf>
    <xf numFmtId="0" fontId="43" fillId="0" borderId="0" xfId="0" applyFont="1" applyAlignment="1">
      <alignment wrapText="1"/>
    </xf>
    <xf numFmtId="0" fontId="47" fillId="29" borderId="0" xfId="0" applyFont="1" applyFill="1"/>
    <xf numFmtId="0" fontId="48" fillId="0" borderId="0" xfId="0" applyFont="1"/>
    <xf numFmtId="0" fontId="1" fillId="29" borderId="0" xfId="0" applyFont="1" applyFill="1"/>
    <xf numFmtId="0" fontId="0" fillId="29" borderId="0" xfId="0" applyFill="1"/>
    <xf numFmtId="164" fontId="48" fillId="0" borderId="0" xfId="0" applyNumberFormat="1" applyFont="1"/>
    <xf numFmtId="166" fontId="48" fillId="0" borderId="0" xfId="0" applyNumberFormat="1" applyFont="1"/>
    <xf numFmtId="2" fontId="48" fillId="0" borderId="0" xfId="0" applyNumberFormat="1" applyFont="1"/>
    <xf numFmtId="164" fontId="48" fillId="31" borderId="15" xfId="0" applyNumberFormat="1" applyFont="1" applyFill="1" applyBorder="1"/>
    <xf numFmtId="0" fontId="1" fillId="29" borderId="15" xfId="0" applyFont="1" applyFill="1" applyBorder="1"/>
    <xf numFmtId="0" fontId="1" fillId="29" borderId="16" xfId="0" applyFont="1" applyFill="1" applyBorder="1"/>
    <xf numFmtId="164" fontId="48" fillId="31" borderId="0" xfId="0" applyNumberFormat="1" applyFont="1" applyFill="1"/>
    <xf numFmtId="164" fontId="48" fillId="31" borderId="17" xfId="0" applyNumberFormat="1" applyFont="1" applyFill="1" applyBorder="1"/>
    <xf numFmtId="164" fontId="48" fillId="31" borderId="23" xfId="0" applyNumberFormat="1" applyFont="1" applyFill="1" applyBorder="1"/>
    <xf numFmtId="2" fontId="48" fillId="31" borderId="17" xfId="0" applyNumberFormat="1" applyFont="1" applyFill="1" applyBorder="1"/>
    <xf numFmtId="164" fontId="48" fillId="31" borderId="38" xfId="0" applyNumberFormat="1" applyFont="1" applyFill="1" applyBorder="1"/>
    <xf numFmtId="0" fontId="0" fillId="29" borderId="0" xfId="0" applyFill="1" applyAlignment="1">
      <alignment horizontal="right"/>
    </xf>
    <xf numFmtId="0" fontId="0" fillId="28" borderId="0" xfId="0" applyFill="1" applyAlignment="1">
      <alignment horizontal="right"/>
    </xf>
    <xf numFmtId="164" fontId="47" fillId="28" borderId="0" xfId="0" applyNumberFormat="1" applyFont="1" applyFill="1"/>
    <xf numFmtId="0" fontId="0" fillId="28" borderId="0" xfId="0" applyFill="1"/>
    <xf numFmtId="0" fontId="1" fillId="28" borderId="0" xfId="0" applyFont="1" applyFill="1" applyAlignment="1">
      <alignment horizontal="right"/>
    </xf>
    <xf numFmtId="2" fontId="48" fillId="28" borderId="0" xfId="0" applyNumberFormat="1" applyFont="1" applyFill="1"/>
    <xf numFmtId="0" fontId="0" fillId="28" borderId="15" xfId="0" applyFill="1" applyBorder="1"/>
    <xf numFmtId="0" fontId="1" fillId="31" borderId="15" xfId="0" applyFont="1" applyFill="1" applyBorder="1"/>
    <xf numFmtId="0" fontId="0" fillId="28" borderId="39" xfId="0" applyFill="1" applyBorder="1"/>
    <xf numFmtId="0" fontId="0" fillId="28" borderId="28" xfId="0" applyFill="1" applyBorder="1"/>
    <xf numFmtId="0" fontId="0" fillId="28" borderId="27" xfId="0" applyFill="1" applyBorder="1"/>
    <xf numFmtId="0" fontId="0" fillId="30" borderId="0" xfId="0" applyFill="1"/>
    <xf numFmtId="0" fontId="1" fillId="28" borderId="0" xfId="0" applyFont="1" applyFill="1"/>
    <xf numFmtId="0" fontId="47" fillId="28" borderId="0" xfId="0" applyFont="1" applyFill="1"/>
    <xf numFmtId="0" fontId="0" fillId="30" borderId="0" xfId="0" applyFill="1" applyAlignment="1">
      <alignment horizontal="right"/>
    </xf>
    <xf numFmtId="0" fontId="1" fillId="29" borderId="0" xfId="0" applyFont="1" applyFill="1" applyAlignment="1">
      <alignment horizontal="right"/>
    </xf>
    <xf numFmtId="0" fontId="0" fillId="29" borderId="0" xfId="0" applyFill="1" applyAlignment="1">
      <alignment vertical="center" readingOrder="1"/>
    </xf>
    <xf numFmtId="0" fontId="19" fillId="29" borderId="0" xfId="0" applyFont="1" applyFill="1"/>
    <xf numFmtId="0" fontId="48" fillId="33" borderId="0" xfId="0" applyFont="1" applyFill="1"/>
    <xf numFmtId="0" fontId="48" fillId="34" borderId="0" xfId="0" applyFont="1" applyFill="1"/>
    <xf numFmtId="0" fontId="44" fillId="29" borderId="0" xfId="0" applyFont="1" applyFill="1"/>
    <xf numFmtId="0" fontId="44" fillId="32" borderId="15" xfId="0" applyFont="1" applyFill="1" applyBorder="1"/>
    <xf numFmtId="2" fontId="48" fillId="33" borderId="0" xfId="0" applyNumberFormat="1" applyFont="1" applyFill="1"/>
    <xf numFmtId="166" fontId="48" fillId="34" borderId="0" xfId="0" applyNumberFormat="1" applyFont="1" applyFill="1"/>
    <xf numFmtId="0" fontId="0" fillId="31" borderId="0" xfId="0" applyFill="1"/>
    <xf numFmtId="166" fontId="48" fillId="28" borderId="0" xfId="0" applyNumberFormat="1" applyFont="1" applyFill="1"/>
    <xf numFmtId="166" fontId="1" fillId="29" borderId="0" xfId="0" applyNumberFormat="1" applyFont="1" applyFill="1"/>
    <xf numFmtId="0" fontId="47" fillId="35" borderId="0" xfId="0" applyFont="1" applyFill="1"/>
    <xf numFmtId="0" fontId="0" fillId="35" borderId="0" xfId="0" applyFill="1"/>
    <xf numFmtId="0" fontId="0" fillId="35" borderId="0" xfId="0" applyFill="1" applyAlignment="1">
      <alignment horizontal="right"/>
    </xf>
    <xf numFmtId="0" fontId="0" fillId="36" borderId="0" xfId="0" applyFill="1"/>
    <xf numFmtId="0" fontId="0" fillId="36" borderId="0" xfId="0" applyFill="1" applyAlignment="1">
      <alignment horizontal="right"/>
    </xf>
    <xf numFmtId="0" fontId="0" fillId="37" borderId="0" xfId="0" applyFill="1"/>
    <xf numFmtId="0" fontId="0" fillId="37" borderId="0" xfId="0" applyFill="1" applyAlignment="1">
      <alignment horizontal="right"/>
    </xf>
    <xf numFmtId="2" fontId="0" fillId="28" borderId="0" xfId="0" applyNumberFormat="1" applyFill="1"/>
    <xf numFmtId="0" fontId="48" fillId="38" borderId="0" xfId="0" applyFont="1" applyFill="1"/>
    <xf numFmtId="0" fontId="47" fillId="29" borderId="0" xfId="0" applyFont="1" applyFill="1" applyAlignment="1">
      <alignment horizontal="left" indent="3"/>
    </xf>
    <xf numFmtId="164" fontId="48" fillId="31" borderId="41" xfId="0" applyNumberFormat="1" applyFont="1" applyFill="1" applyBorder="1"/>
    <xf numFmtId="0" fontId="48" fillId="31" borderId="41" xfId="0" applyFont="1" applyFill="1" applyBorder="1"/>
    <xf numFmtId="0" fontId="50" fillId="30" borderId="39" xfId="0" applyFont="1" applyFill="1" applyBorder="1"/>
    <xf numFmtId="0" fontId="51" fillId="27" borderId="15" xfId="0" applyFont="1" applyFill="1" applyBorder="1"/>
    <xf numFmtId="0" fontId="0" fillId="30" borderId="39" xfId="0" applyFill="1" applyBorder="1"/>
    <xf numFmtId="166" fontId="48" fillId="31" borderId="40" xfId="0" applyNumberFormat="1" applyFont="1" applyFill="1" applyBorder="1"/>
    <xf numFmtId="166" fontId="48" fillId="31" borderId="15" xfId="0" applyNumberFormat="1" applyFont="1" applyFill="1" applyBorder="1"/>
    <xf numFmtId="166" fontId="48" fillId="31" borderId="42" xfId="0" applyNumberFormat="1" applyFont="1" applyFill="1" applyBorder="1"/>
    <xf numFmtId="166" fontId="47" fillId="28" borderId="38" xfId="0" applyNumberFormat="1" applyFont="1" applyFill="1" applyBorder="1"/>
    <xf numFmtId="166" fontId="47" fillId="28" borderId="0" xfId="0" applyNumberFormat="1" applyFont="1" applyFill="1"/>
    <xf numFmtId="0" fontId="1" fillId="29" borderId="0" xfId="46" applyFill="1"/>
    <xf numFmtId="0" fontId="44" fillId="29" borderId="15" xfId="0" applyFont="1" applyFill="1" applyBorder="1"/>
    <xf numFmtId="165" fontId="48" fillId="31" borderId="0" xfId="0" applyNumberFormat="1" applyFont="1" applyFill="1"/>
    <xf numFmtId="164" fontId="47" fillId="28" borderId="15" xfId="0" applyNumberFormat="1" applyFont="1" applyFill="1" applyBorder="1"/>
    <xf numFmtId="0" fontId="47" fillId="29" borderId="11" xfId="0" applyFont="1" applyFill="1" applyBorder="1"/>
    <xf numFmtId="0" fontId="1" fillId="29" borderId="11" xfId="0" applyFont="1" applyFill="1" applyBorder="1"/>
    <xf numFmtId="0" fontId="44" fillId="28" borderId="0" xfId="0" applyFont="1" applyFill="1" applyAlignment="1">
      <alignment horizontal="center" vertical="center"/>
    </xf>
    <xf numFmtId="0" fontId="48" fillId="31" borderId="15" xfId="0" applyFont="1" applyFill="1" applyBorder="1" applyAlignment="1">
      <alignment horizontal="right"/>
    </xf>
    <xf numFmtId="0" fontId="48" fillId="28" borderId="28" xfId="0" applyFont="1" applyFill="1" applyBorder="1"/>
    <xf numFmtId="0" fontId="1" fillId="35" borderId="15" xfId="0" applyFont="1" applyFill="1" applyBorder="1" applyAlignment="1">
      <alignment horizontal="center"/>
    </xf>
    <xf numFmtId="0" fontId="1" fillId="36" borderId="0" xfId="0" applyFont="1" applyFill="1"/>
    <xf numFmtId="0" fontId="1" fillId="37" borderId="0" xfId="0" applyFont="1" applyFill="1"/>
    <xf numFmtId="0" fontId="51" fillId="28" borderId="0" xfId="0" applyFont="1" applyFill="1"/>
    <xf numFmtId="167" fontId="48" fillId="31" borderId="0" xfId="0" applyNumberFormat="1" applyFont="1" applyFill="1"/>
    <xf numFmtId="165" fontId="48" fillId="0" borderId="0" xfId="0" applyNumberFormat="1" applyFont="1"/>
    <xf numFmtId="0" fontId="1" fillId="29" borderId="0" xfId="0" applyFont="1" applyFill="1" applyAlignment="1">
      <alignment horizontal="center"/>
    </xf>
    <xf numFmtId="0" fontId="49" fillId="27" borderId="15" xfId="0" applyFont="1" applyFill="1" applyBorder="1" applyProtection="1">
      <protection locked="0"/>
    </xf>
    <xf numFmtId="166" fontId="0" fillId="28" borderId="0" xfId="0" applyNumberFormat="1" applyFill="1"/>
    <xf numFmtId="0" fontId="0" fillId="30" borderId="18" xfId="0" applyFill="1" applyBorder="1"/>
    <xf numFmtId="0" fontId="0" fillId="30" borderId="17" xfId="0" applyFill="1" applyBorder="1"/>
    <xf numFmtId="0" fontId="49" fillId="27" borderId="0" xfId="0" applyFont="1" applyFill="1" applyProtection="1">
      <protection locked="0"/>
    </xf>
    <xf numFmtId="0" fontId="51" fillId="27" borderId="16" xfId="0" applyFont="1" applyFill="1" applyBorder="1" applyProtection="1">
      <protection locked="0"/>
    </xf>
    <xf numFmtId="166" fontId="51" fillId="27" borderId="15" xfId="0" applyNumberFormat="1" applyFont="1" applyFill="1" applyBorder="1" applyProtection="1">
      <protection locked="0"/>
    </xf>
    <xf numFmtId="164" fontId="51" fillId="27" borderId="15" xfId="0" applyNumberFormat="1" applyFont="1" applyFill="1" applyBorder="1" applyProtection="1">
      <protection locked="0"/>
    </xf>
    <xf numFmtId="164" fontId="0" fillId="30" borderId="39" xfId="0" applyNumberFormat="1" applyFill="1" applyBorder="1" applyProtection="1">
      <protection locked="0"/>
    </xf>
    <xf numFmtId="0" fontId="51" fillId="27" borderId="0" xfId="0" applyFont="1" applyFill="1" applyProtection="1">
      <protection locked="0"/>
    </xf>
    <xf numFmtId="0" fontId="51" fillId="27" borderId="15" xfId="0" applyFont="1" applyFill="1" applyBorder="1" applyProtection="1">
      <protection locked="0"/>
    </xf>
    <xf numFmtId="0" fontId="0" fillId="28" borderId="0" xfId="0" applyFill="1" applyProtection="1">
      <protection locked="0"/>
    </xf>
    <xf numFmtId="164" fontId="0" fillId="26" borderId="0" xfId="0" applyNumberFormat="1" applyFill="1" applyProtection="1">
      <protection locked="0"/>
    </xf>
    <xf numFmtId="0" fontId="0" fillId="26" borderId="0" xfId="0" applyFill="1" applyProtection="1">
      <protection locked="0"/>
    </xf>
    <xf numFmtId="2" fontId="48" fillId="0" borderId="10" xfId="0" applyNumberFormat="1" applyFont="1" applyBorder="1"/>
    <xf numFmtId="164" fontId="48" fillId="0" borderId="39" xfId="0" applyNumberFormat="1" applyFont="1" applyBorder="1"/>
    <xf numFmtId="2" fontId="48" fillId="0" borderId="38" xfId="0" applyNumberFormat="1" applyFont="1" applyBorder="1"/>
    <xf numFmtId="2" fontId="48" fillId="0" borderId="11" xfId="0" applyNumberFormat="1" applyFont="1" applyBorder="1"/>
    <xf numFmtId="0" fontId="48" fillId="31" borderId="0" xfId="0" applyFont="1" applyFill="1"/>
    <xf numFmtId="0" fontId="1" fillId="29" borderId="0" xfId="0" applyFont="1" applyFill="1" applyAlignment="1">
      <alignment vertical="center" readingOrder="1"/>
    </xf>
    <xf numFmtId="0" fontId="47" fillId="30" borderId="15" xfId="0" applyFont="1" applyFill="1" applyBorder="1" applyProtection="1">
      <protection locked="0"/>
    </xf>
    <xf numFmtId="2" fontId="48" fillId="38" borderId="0" xfId="0" applyNumberFormat="1" applyFont="1" applyFill="1"/>
    <xf numFmtId="0" fontId="44" fillId="39" borderId="0" xfId="0" applyFont="1" applyFill="1"/>
    <xf numFmtId="0" fontId="53" fillId="39" borderId="0" xfId="0" applyFont="1" applyFill="1"/>
    <xf numFmtId="2" fontId="49" fillId="27" borderId="15" xfId="0" applyNumberFormat="1" applyFont="1" applyFill="1" applyBorder="1" applyProtection="1">
      <protection locked="0"/>
    </xf>
    <xf numFmtId="0" fontId="54" fillId="39" borderId="0" xfId="0" applyFont="1" applyFill="1"/>
    <xf numFmtId="0" fontId="49" fillId="28" borderId="15" xfId="0" applyFont="1" applyFill="1" applyBorder="1" applyProtection="1">
      <protection locked="0"/>
    </xf>
    <xf numFmtId="0" fontId="44" fillId="32" borderId="0" xfId="0" applyFont="1" applyFill="1"/>
    <xf numFmtId="0" fontId="0" fillId="30" borderId="28" xfId="0" applyFill="1" applyBorder="1"/>
    <xf numFmtId="0" fontId="44" fillId="29" borderId="11" xfId="0" applyFont="1" applyFill="1" applyBorder="1"/>
    <xf numFmtId="0" fontId="0" fillId="29" borderId="0" xfId="0" applyFill="1" applyAlignment="1">
      <alignment horizontal="center"/>
    </xf>
    <xf numFmtId="0" fontId="3" fillId="29" borderId="0" xfId="0" applyFont="1" applyFill="1" applyAlignment="1">
      <alignment horizontal="center"/>
    </xf>
    <xf numFmtId="0" fontId="44" fillId="32" borderId="15" xfId="0" applyFont="1" applyFill="1" applyBorder="1" applyProtection="1">
      <protection locked="0"/>
    </xf>
    <xf numFmtId="165" fontId="0" fillId="30" borderId="10" xfId="0" applyNumberFormat="1" applyFill="1" applyBorder="1"/>
    <xf numFmtId="166" fontId="48" fillId="31" borderId="10" xfId="0" applyNumberFormat="1" applyFont="1" applyFill="1" applyBorder="1"/>
    <xf numFmtId="166" fontId="48" fillId="31" borderId="0" xfId="0" applyNumberFormat="1" applyFont="1" applyFill="1"/>
    <xf numFmtId="168" fontId="49" fillId="27" borderId="15" xfId="0" applyNumberFormat="1" applyFont="1" applyFill="1" applyBorder="1" applyProtection="1">
      <protection locked="0"/>
    </xf>
    <xf numFmtId="164" fontId="44" fillId="32" borderId="15" xfId="0" applyNumberFormat="1" applyFont="1" applyFill="1" applyBorder="1" applyProtection="1">
      <protection locked="0"/>
    </xf>
    <xf numFmtId="166" fontId="48" fillId="28" borderId="10" xfId="0" applyNumberFormat="1" applyFont="1" applyFill="1" applyBorder="1"/>
    <xf numFmtId="0" fontId="47" fillId="40" borderId="0" xfId="0" applyFont="1" applyFill="1"/>
    <xf numFmtId="0" fontId="47" fillId="40" borderId="16" xfId="0" applyFont="1" applyFill="1" applyBorder="1"/>
    <xf numFmtId="0" fontId="47" fillId="40" borderId="17" xfId="0" applyFont="1" applyFill="1" applyBorder="1"/>
    <xf numFmtId="164" fontId="51" fillId="27" borderId="16" xfId="0" applyNumberFormat="1" applyFont="1" applyFill="1" applyBorder="1" applyProtection="1">
      <protection locked="0"/>
    </xf>
    <xf numFmtId="164" fontId="48" fillId="31" borderId="10" xfId="0" applyNumberFormat="1" applyFont="1" applyFill="1" applyBorder="1"/>
    <xf numFmtId="166" fontId="0" fillId="29" borderId="0" xfId="0" applyNumberFormat="1" applyFill="1"/>
    <xf numFmtId="9" fontId="0" fillId="30" borderId="0" xfId="0" applyNumberFormat="1" applyFill="1"/>
    <xf numFmtId="0" fontId="3" fillId="40" borderId="0" xfId="0" applyFont="1" applyFill="1"/>
    <xf numFmtId="164" fontId="48" fillId="33" borderId="0" xfId="0" applyNumberFormat="1" applyFont="1" applyFill="1"/>
    <xf numFmtId="166" fontId="48" fillId="33" borderId="0" xfId="0" applyNumberFormat="1" applyFont="1" applyFill="1"/>
    <xf numFmtId="0" fontId="1" fillId="30" borderId="39" xfId="0" applyFont="1" applyFill="1" applyBorder="1"/>
    <xf numFmtId="0" fontId="56" fillId="39" borderId="0" xfId="0" applyFont="1" applyFill="1" applyAlignment="1">
      <alignment horizontal="center"/>
    </xf>
    <xf numFmtId="164" fontId="1" fillId="0" borderId="10" xfId="41" applyNumberFormat="1" applyBorder="1" applyAlignment="1">
      <alignment horizontal="left"/>
    </xf>
    <xf numFmtId="164" fontId="1" fillId="0" borderId="0" xfId="41" applyNumberFormat="1" applyAlignment="1">
      <alignment horizontal="left"/>
    </xf>
    <xf numFmtId="0" fontId="7" fillId="23" borderId="16" xfId="40" applyFont="1" applyFill="1" applyBorder="1"/>
    <xf numFmtId="0" fontId="7" fillId="23" borderId="18" xfId="40" applyFont="1" applyFill="1" applyBorder="1"/>
    <xf numFmtId="0" fontId="7" fillId="23" borderId="17" xfId="40" applyFont="1" applyFill="1" applyBorder="1"/>
    <xf numFmtId="0" fontId="6" fillId="0" borderId="0" xfId="40" applyFont="1"/>
    <xf numFmtId="0" fontId="15" fillId="0" borderId="0" xfId="41" applyFont="1" applyAlignment="1">
      <alignment horizontal="right"/>
    </xf>
    <xf numFmtId="0" fontId="0" fillId="0" borderId="11" xfId="0" applyBorder="1"/>
    <xf numFmtId="0" fontId="1" fillId="0" borderId="15" xfId="41" applyBorder="1"/>
    <xf numFmtId="2" fontId="1" fillId="0" borderId="16" xfId="40" applyNumberFormat="1" applyBorder="1" applyAlignment="1">
      <alignment horizontal="center"/>
    </xf>
    <xf numFmtId="2" fontId="1" fillId="0" borderId="17" xfId="40" applyNumberFormat="1" applyBorder="1" applyAlignment="1">
      <alignment horizontal="center"/>
    </xf>
    <xf numFmtId="0" fontId="7" fillId="24" borderId="16" xfId="40" applyFont="1" applyFill="1" applyBorder="1" applyAlignment="1">
      <alignment horizontal="center"/>
    </xf>
    <xf numFmtId="0" fontId="7" fillId="24" borderId="17" xfId="40" applyFont="1" applyFill="1" applyBorder="1" applyAlignment="1">
      <alignment horizontal="center"/>
    </xf>
    <xf numFmtId="2" fontId="9" fillId="0" borderId="16" xfId="40" applyNumberFormat="1" applyFont="1" applyBorder="1" applyAlignment="1">
      <alignment horizontal="center"/>
    </xf>
    <xf numFmtId="2" fontId="9" fillId="0" borderId="17" xfId="40" applyNumberFormat="1" applyFont="1" applyBorder="1" applyAlignment="1">
      <alignment horizontal="center"/>
    </xf>
    <xf numFmtId="0" fontId="1" fillId="0" borderId="16" xfId="41" applyBorder="1"/>
    <xf numFmtId="0" fontId="1" fillId="0" borderId="17" xfId="41" applyBorder="1"/>
    <xf numFmtId="0" fontId="4" fillId="0" borderId="0" xfId="40" applyFont="1" applyAlignment="1">
      <alignment horizontal="center" wrapText="1"/>
    </xf>
    <xf numFmtId="0" fontId="40" fillId="0" borderId="0" xfId="40" applyFont="1" applyAlignment="1">
      <alignment horizontal="center" wrapText="1"/>
    </xf>
    <xf numFmtId="2" fontId="7" fillId="0" borderId="16" xfId="40" applyNumberFormat="1" applyFont="1" applyBorder="1" applyAlignment="1">
      <alignment horizontal="center"/>
    </xf>
    <xf numFmtId="2" fontId="7" fillId="0" borderId="17" xfId="40" applyNumberFormat="1" applyFont="1" applyBorder="1" applyAlignment="1">
      <alignment horizontal="center"/>
    </xf>
    <xf numFmtId="0" fontId="1" fillId="0" borderId="15" xfId="41" applyBorder="1" applyAlignment="1">
      <alignment horizontal="left"/>
    </xf>
    <xf numFmtId="0" fontId="7" fillId="0" borderId="10" xfId="40" applyFont="1" applyBorder="1" applyAlignment="1">
      <alignment horizontal="center"/>
    </xf>
    <xf numFmtId="0" fontId="7" fillId="0" borderId="0" xfId="40" applyFont="1" applyAlignment="1">
      <alignment horizontal="center"/>
    </xf>
    <xf numFmtId="0" fontId="7" fillId="23" borderId="16" xfId="41" applyFont="1" applyFill="1" applyBorder="1" applyAlignment="1">
      <alignment horizontal="center"/>
    </xf>
    <xf numFmtId="0" fontId="7" fillId="23" borderId="17" xfId="41" applyFont="1" applyFill="1" applyBorder="1" applyAlignment="1">
      <alignment horizontal="center"/>
    </xf>
    <xf numFmtId="0" fontId="7" fillId="23" borderId="18" xfId="41" applyFont="1" applyFill="1" applyBorder="1" applyAlignment="1">
      <alignment horizontal="center"/>
    </xf>
    <xf numFmtId="0" fontId="44" fillId="0" borderId="37" xfId="40" applyFont="1" applyBorder="1" applyAlignment="1" applyProtection="1">
      <alignment horizontal="center"/>
      <protection locked="0"/>
    </xf>
    <xf numFmtId="0" fontId="44" fillId="0" borderId="22" xfId="40" applyFont="1" applyBorder="1" applyAlignment="1" applyProtection="1">
      <alignment horizontal="center"/>
      <protection locked="0"/>
    </xf>
    <xf numFmtId="0" fontId="40" fillId="0" borderId="0" xfId="40" applyFont="1" applyAlignment="1">
      <alignment wrapText="1"/>
    </xf>
    <xf numFmtId="0" fontId="9" fillId="0" borderId="34" xfId="0" applyFont="1" applyBorder="1" applyAlignment="1">
      <alignment horizontal="center"/>
    </xf>
    <xf numFmtId="0" fontId="9" fillId="0" borderId="35" xfId="0" applyFont="1" applyBorder="1" applyAlignment="1">
      <alignment horizontal="center"/>
    </xf>
    <xf numFmtId="0" fontId="9" fillId="0" borderId="36" xfId="0" applyFont="1" applyBorder="1" applyAlignment="1">
      <alignment horizontal="center"/>
    </xf>
    <xf numFmtId="0" fontId="43" fillId="0" borderId="0" xfId="0" applyFont="1" applyAlignment="1">
      <alignment horizontal="center"/>
    </xf>
    <xf numFmtId="0" fontId="43" fillId="0" borderId="0" xfId="39" applyFont="1" applyAlignment="1">
      <alignment horizontal="center"/>
    </xf>
    <xf numFmtId="0" fontId="0" fillId="0" borderId="0" xfId="0" applyProtection="1">
      <protection locked="0"/>
    </xf>
    <xf numFmtId="0" fontId="43" fillId="0" borderId="0" xfId="0" applyFont="1" applyAlignment="1">
      <alignment wrapText="1"/>
    </xf>
    <xf numFmtId="2" fontId="1" fillId="0" borderId="0" xfId="0" applyNumberFormat="1" applyFont="1" applyAlignment="1" applyProtection="1">
      <alignment horizontal="right"/>
      <protection locked="0"/>
    </xf>
    <xf numFmtId="165" fontId="7" fillId="0" borderId="0" xfId="0" applyNumberFormat="1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0" fontId="7" fillId="0" borderId="0" xfId="0" applyFont="1" applyAlignment="1" applyProtection="1">
      <alignment horizontal="right"/>
      <protection locked="0"/>
    </xf>
    <xf numFmtId="0" fontId="4" fillId="0" borderId="0" xfId="0" applyFont="1" applyAlignment="1">
      <alignment horizontal="center" wrapText="1"/>
    </xf>
    <xf numFmtId="0" fontId="7" fillId="0" borderId="34" xfId="0" applyFont="1" applyBorder="1" applyAlignment="1">
      <alignment horizontal="center"/>
    </xf>
    <xf numFmtId="0" fontId="7" fillId="0" borderId="35" xfId="0" applyFont="1" applyBorder="1" applyAlignment="1">
      <alignment horizontal="center"/>
    </xf>
    <xf numFmtId="0" fontId="7" fillId="0" borderId="36" xfId="0" applyFont="1" applyBorder="1" applyAlignment="1">
      <alignment horizontal="center"/>
    </xf>
    <xf numFmtId="0" fontId="13" fillId="0" borderId="0" xfId="0" applyFont="1" applyAlignment="1" applyProtection="1">
      <alignment horizontal="right"/>
      <protection locked="0"/>
    </xf>
    <xf numFmtId="0" fontId="10" fillId="0" borderId="0" xfId="0" applyFont="1" applyAlignment="1" applyProtection="1">
      <alignment horizontal="right"/>
      <protection locked="0"/>
    </xf>
    <xf numFmtId="0" fontId="7" fillId="26" borderId="0" xfId="0" applyFont="1" applyFill="1" applyAlignment="1">
      <alignment horizontal="center"/>
    </xf>
    <xf numFmtId="0" fontId="43" fillId="0" borderId="22" xfId="0" applyFont="1" applyBorder="1" applyAlignment="1" applyProtection="1">
      <alignment horizontal="center"/>
      <protection locked="0"/>
    </xf>
    <xf numFmtId="0" fontId="0" fillId="30" borderId="0" xfId="0" applyFill="1" applyProtection="1"/>
    <xf numFmtId="0" fontId="49" fillId="27" borderId="15" xfId="0" applyFont="1" applyFill="1" applyBorder="1" applyProtection="1"/>
  </cellXfs>
  <cellStyles count="48">
    <cellStyle name="20% - Énfasis1" xfId="1" builtinId="30" customBuiltin="1"/>
    <cellStyle name="20% - Énfasis2" xfId="2" builtinId="34" customBuiltin="1"/>
    <cellStyle name="20% - Énfasis3" xfId="3" builtinId="38" customBuiltin="1"/>
    <cellStyle name="20% - Énfasis4" xfId="4" builtinId="42" customBuiltin="1"/>
    <cellStyle name="20% - Énfasis5" xfId="5" builtinId="46" customBuiltin="1"/>
    <cellStyle name="20% - Énfasis6" xfId="6" builtinId="50" customBuiltin="1"/>
    <cellStyle name="40% - Énfasis1" xfId="7" builtinId="31" customBuiltin="1"/>
    <cellStyle name="40% - Énfasis2" xfId="8" builtinId="35" customBuiltin="1"/>
    <cellStyle name="40% - Énfasis3" xfId="9" builtinId="39" customBuiltin="1"/>
    <cellStyle name="40% - Énfasis4" xfId="10" builtinId="43" customBuiltin="1"/>
    <cellStyle name="40% - Énfasis5" xfId="11" builtinId="47" customBuiltin="1"/>
    <cellStyle name="40% - Énfasis6" xfId="12" builtinId="51" customBuiltin="1"/>
    <cellStyle name="60% - Énfasis1" xfId="13" builtinId="32" customBuiltin="1"/>
    <cellStyle name="60% - Énfasis2" xfId="14" builtinId="36" customBuiltin="1"/>
    <cellStyle name="60% - Énfasis3" xfId="15" builtinId="40" customBuiltin="1"/>
    <cellStyle name="60% - Énfasis4" xfId="16" builtinId="44" customBuiltin="1"/>
    <cellStyle name="60% - Énfasis5" xfId="17" builtinId="48" customBuiltin="1"/>
    <cellStyle name="60% - Énfasis6" xfId="18" builtinId="52" customBuiltin="1"/>
    <cellStyle name="Advertencia" xfId="19" xr:uid="{00000000-0005-0000-0000-000012000000}"/>
    <cellStyle name="Calcular" xfId="20" xr:uid="{00000000-0005-0000-0000-000013000000}"/>
    <cellStyle name="Celda comprob." xfId="21" xr:uid="{00000000-0005-0000-0000-000014000000}"/>
    <cellStyle name="Celda vinculada" xfId="22" builtinId="24" customBuiltin="1"/>
    <cellStyle name="Correcto" xfId="23" xr:uid="{00000000-0005-0000-0000-000016000000}"/>
    <cellStyle name="Encabez. 1" xfId="24" xr:uid="{00000000-0005-0000-0000-000017000000}"/>
    <cellStyle name="Encabez. 2" xfId="25" xr:uid="{00000000-0005-0000-0000-000018000000}"/>
    <cellStyle name="Encabezado 3" xfId="26" xr:uid="{00000000-0005-0000-0000-000019000000}"/>
    <cellStyle name="Encabezado 4" xfId="27" builtinId="19" customBuiltin="1"/>
    <cellStyle name="Énfasis1" xfId="28" builtinId="29" customBuiltin="1"/>
    <cellStyle name="Énfasis2" xfId="29" builtinId="33" customBuiltin="1"/>
    <cellStyle name="Énfasis3" xfId="30" builtinId="37" customBuiltin="1"/>
    <cellStyle name="Énfasis4" xfId="31" builtinId="41" customBuiltin="1"/>
    <cellStyle name="Énfasis5" xfId="32" builtinId="45" customBuiltin="1"/>
    <cellStyle name="Énfasis6" xfId="33" builtinId="49" customBuiltin="1"/>
    <cellStyle name="Entrada" xfId="34" builtinId="20" customBuiltin="1"/>
    <cellStyle name="Euro" xfId="35" xr:uid="{00000000-0005-0000-0000-000022000000}"/>
    <cellStyle name="Euro 2" xfId="47" xr:uid="{5B903E3F-077F-4450-8D0E-9F08C1B40569}"/>
    <cellStyle name="Explicación" xfId="36" xr:uid="{00000000-0005-0000-0000-000023000000}"/>
    <cellStyle name="Incorrecto" xfId="37" builtinId="27" customBuiltin="1"/>
    <cellStyle name="Neutral" xfId="38" builtinId="28" customBuiltin="1"/>
    <cellStyle name="Normal" xfId="0" builtinId="0"/>
    <cellStyle name="Normal 2" xfId="46" xr:uid="{A41E1880-339C-40D9-863F-0C5F74AB3872}"/>
    <cellStyle name="Normal_CALCAPAT" xfId="39" xr:uid="{00000000-0005-0000-0000-000027000000}"/>
    <cellStyle name="Normal_Hidrostaticas Diamond 53" xfId="40" xr:uid="{00000000-0005-0000-0000-000028000000}"/>
    <cellStyle name="Normal_Hidrostaticas oct. 2011" xfId="41" xr:uid="{00000000-0005-0000-0000-000029000000}"/>
    <cellStyle name="Nota" xfId="42" xr:uid="{00000000-0005-0000-0000-00002A000000}"/>
    <cellStyle name="Salida" xfId="43" builtinId="21" customBuiltin="1"/>
    <cellStyle name="Título" xfId="44" builtinId="15" customBuiltin="1"/>
    <cellStyle name="Total" xfId="45" builtinId="25" customBuiltin="1"/>
  </cellStyles>
  <dxfs count="84"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theme="1"/>
        </patternFill>
      </fill>
    </dxf>
    <dxf>
      <fill>
        <patternFill>
          <bgColor theme="1"/>
        </patternFill>
      </fill>
    </dxf>
    <dxf>
      <fill>
        <patternFill>
          <bgColor theme="1"/>
        </patternFill>
      </fill>
    </dxf>
    <dxf>
      <fill>
        <patternFill>
          <bgColor theme="1"/>
        </patternFill>
      </fill>
    </dxf>
    <dxf>
      <fill>
        <patternFill>
          <bgColor theme="1"/>
        </patternFill>
      </fill>
    </dxf>
    <dxf>
      <font>
        <color theme="1"/>
      </font>
      <fill>
        <patternFill>
          <bgColor theme="1"/>
        </patternFill>
      </fill>
    </dxf>
    <dxf>
      <font>
        <color theme="1"/>
      </font>
      <fill>
        <patternFill>
          <bgColor theme="1"/>
        </patternFill>
      </fill>
    </dxf>
    <dxf>
      <fill>
        <patternFill>
          <bgColor theme="1"/>
        </patternFill>
      </fill>
    </dxf>
    <dxf>
      <fill>
        <patternFill>
          <bgColor theme="1"/>
        </patternFill>
      </fill>
    </dxf>
    <dxf>
      <fill>
        <patternFill>
          <bgColor theme="1"/>
        </patternFill>
      </fill>
    </dxf>
    <dxf>
      <font>
        <color theme="1"/>
      </font>
      <fill>
        <patternFill>
          <bgColor theme="1"/>
        </patternFill>
      </fill>
    </dxf>
    <dxf>
      <font>
        <color theme="1"/>
      </font>
      <fill>
        <patternFill>
          <bgColor theme="1"/>
        </patternFill>
      </fill>
    </dxf>
    <dxf>
      <font>
        <color theme="1"/>
      </font>
      <fill>
        <patternFill>
          <bgColor theme="1"/>
        </patternFill>
      </fill>
    </dxf>
    <dxf>
      <font>
        <color theme="1"/>
      </font>
      <fill>
        <patternFill>
          <bgColor theme="1"/>
        </patternFill>
      </fill>
    </dxf>
    <dxf>
      <font>
        <color theme="1"/>
      </font>
      <fill>
        <patternFill>
          <bgColor theme="1"/>
        </patternFill>
      </fill>
    </dxf>
    <dxf>
      <font>
        <color theme="1"/>
      </font>
      <fill>
        <patternFill>
          <bgColor theme="1"/>
        </patternFill>
      </fill>
    </dxf>
    <dxf>
      <fill>
        <patternFill>
          <bgColor theme="4" tint="0.39994506668294322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theme="4" tint="0.39994506668294322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ont>
        <color theme="1"/>
      </font>
      <fill>
        <patternFill>
          <bgColor theme="1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ont>
        <color theme="1"/>
      </font>
      <fill>
        <patternFill>
          <bgColor theme="1"/>
        </patternFill>
      </fill>
    </dxf>
    <dxf>
      <font>
        <color theme="1"/>
      </font>
      <fill>
        <patternFill>
          <bgColor theme="1"/>
        </patternFill>
      </fill>
    </dxf>
    <dxf>
      <font>
        <color theme="1"/>
      </font>
      <fill>
        <patternFill>
          <bgColor theme="1"/>
        </patternFill>
      </fill>
    </dxf>
    <dxf>
      <font>
        <color theme="1"/>
      </font>
      <fill>
        <patternFill>
          <bgColor theme="1"/>
        </patternFill>
      </fill>
    </dxf>
    <dxf>
      <font>
        <color theme="1"/>
      </font>
      <fill>
        <patternFill>
          <bgColor theme="1"/>
        </patternFill>
      </fill>
    </dxf>
    <dxf>
      <font>
        <color theme="1"/>
      </font>
      <fill>
        <patternFill>
          <bgColor theme="1"/>
        </patternFill>
      </fill>
    </dxf>
    <dxf>
      <font>
        <color theme="1"/>
      </font>
      <fill>
        <patternFill>
          <bgColor theme="1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1"/>
        </patternFill>
      </fill>
    </dxf>
    <dxf>
      <font>
        <color theme="1"/>
      </font>
      <fill>
        <patternFill>
          <bgColor theme="1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1"/>
        </patternFill>
      </fill>
    </dxf>
    <dxf>
      <font>
        <color theme="1"/>
      </font>
      <fill>
        <patternFill>
          <bgColor theme="1"/>
        </patternFill>
      </fill>
    </dxf>
    <dxf>
      <font>
        <color theme="1"/>
      </font>
      <fill>
        <patternFill>
          <bgColor theme="1"/>
        </patternFill>
      </fill>
    </dxf>
    <dxf>
      <font>
        <color theme="1"/>
      </font>
      <fill>
        <patternFill>
          <bgColor theme="1"/>
        </patternFill>
      </fill>
    </dxf>
    <dxf>
      <font>
        <color theme="1"/>
      </font>
      <fill>
        <patternFill>
          <bgColor theme="1"/>
        </patternFill>
      </fill>
    </dxf>
    <dxf>
      <fill>
        <patternFill>
          <bgColor theme="9" tint="0.39994506668294322"/>
        </patternFill>
      </fill>
    </dxf>
    <dxf>
      <fill>
        <patternFill>
          <bgColor rgb="FFFF0000"/>
        </patternFill>
      </fill>
    </dxf>
    <dxf>
      <fill>
        <patternFill>
          <bgColor theme="4" tint="0.39994506668294322"/>
        </patternFill>
      </fill>
    </dxf>
    <dxf>
      <font>
        <color theme="1"/>
      </font>
      <fill>
        <patternFill>
          <bgColor theme="1"/>
        </patternFill>
      </fill>
      <border>
        <left/>
        <right/>
        <top/>
        <bottom/>
      </border>
    </dxf>
    <dxf>
      <font>
        <color theme="1"/>
      </font>
      <fill>
        <patternFill>
          <bgColor theme="1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theme="4" tint="0.39994506668294322"/>
        </patternFill>
      </fill>
    </dxf>
    <dxf>
      <font>
        <color theme="1"/>
      </font>
      <fill>
        <patternFill>
          <bgColor theme="1"/>
        </patternFill>
      </fill>
      <border>
        <left/>
        <right/>
        <top/>
        <bottom/>
      </border>
    </dxf>
    <dxf>
      <font>
        <color theme="1"/>
      </font>
      <fill>
        <patternFill>
          <bgColor theme="1"/>
        </patternFill>
      </fill>
      <border>
        <left/>
        <right/>
        <top/>
        <bottom/>
      </border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1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1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1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</dxfs>
  <tableStyles count="0" defaultTableStyle="TableStyleMedium2" defaultPivotStyle="PivotStyleLight16"/>
  <colors>
    <mruColors>
      <color rgb="FFFFFF99"/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gi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58316</xdr:colOff>
      <xdr:row>42</xdr:row>
      <xdr:rowOff>120067</xdr:rowOff>
    </xdr:from>
    <xdr:to>
      <xdr:col>10</xdr:col>
      <xdr:colOff>153566</xdr:colOff>
      <xdr:row>50</xdr:row>
      <xdr:rowOff>91491</xdr:rowOff>
    </xdr:to>
    <xdr:pic>
      <xdr:nvPicPr>
        <xdr:cNvPr id="46081" name="Picture 1">
          <a:extLst>
            <a:ext uri="{FF2B5EF4-FFF2-40B4-BE49-F238E27FC236}">
              <a16:creationId xmlns:a16="http://schemas.microsoft.com/office/drawing/2014/main" id="{00000000-0008-0000-0000-000001B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8316" y="8196878"/>
          <a:ext cx="6296219" cy="1293261"/>
        </a:xfrm>
        <a:prstGeom prst="rect">
          <a:avLst/>
        </a:prstGeom>
        <a:noFill/>
        <a:ln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000000" mc:Ignorable="a14" a14:legacySpreadsheetColorIndex="64"/>
              </a:solidFill>
            </a14:hiddenFill>
          </a:ext>
          <a:ext uri="{91240B29-F687-4F45-9708-019B960494DF}">
            <a14:hiddenLine xmlns:a14="http://schemas.microsoft.com/office/drawing/2010/main" w="1">
              <a:solidFill>
                <a:srgbClr xmlns:mc="http://schemas.openxmlformats.org/markup-compatibility/2006" val="FFFFFF" mc:Ignorable="a14" a14:legacySpreadsheetColorIndex="65"/>
              </a:solidFill>
              <a:miter lim="800000"/>
              <a:headEnd/>
              <a:tailEnd/>
            </a14:hiddenLine>
          </a:ext>
          <a:ext uri="{AF507438-7753-43E0-B8FC-AC1667EBCBE1}">
            <a14:hiddenEffects xmlns:a14="http://schemas.microsoft.com/office/drawing/2010/main">
              <a:effectLst>
                <a:outerShdw blurRad="63500" dist="38099" dir="2700000" algn="ctr" rotWithShape="0">
                  <a:srgbClr val="000000">
                    <a:alpha val="74998"/>
                  </a:srgbClr>
                </a:outerShdw>
              </a:effectLst>
            </a14:hiddenEffects>
          </a:ext>
        </a:extLst>
      </xdr:spPr>
    </xdr:pic>
    <xdr:clientData/>
  </xdr:twoCellAnchor>
  <xdr:twoCellAnchor>
    <xdr:from>
      <xdr:col>15</xdr:col>
      <xdr:colOff>200024</xdr:colOff>
      <xdr:row>4</xdr:row>
      <xdr:rowOff>29158</xdr:rowOff>
    </xdr:from>
    <xdr:to>
      <xdr:col>15</xdr:col>
      <xdr:colOff>340179</xdr:colOff>
      <xdr:row>8</xdr:row>
      <xdr:rowOff>77561</xdr:rowOff>
    </xdr:to>
    <xdr:sp macro="" textlink="">
      <xdr:nvSpPr>
        <xdr:cNvPr id="2052" name="AutoShape 4">
          <a:extLst>
            <a:ext uri="{FF2B5EF4-FFF2-40B4-BE49-F238E27FC236}">
              <a16:creationId xmlns:a16="http://schemas.microsoft.com/office/drawing/2014/main" id="{00000000-0008-0000-0000-000004080000}"/>
            </a:ext>
          </a:extLst>
        </xdr:cNvPr>
        <xdr:cNvSpPr>
          <a:spLocks/>
        </xdr:cNvSpPr>
      </xdr:nvSpPr>
      <xdr:spPr bwMode="auto">
        <a:xfrm>
          <a:off x="9452881" y="971939"/>
          <a:ext cx="140155" cy="874551"/>
        </a:xfrm>
        <a:prstGeom prst="leftBrace">
          <a:avLst>
            <a:gd name="adj1" fmla="val 81250"/>
            <a:gd name="adj2" fmla="val 50000"/>
          </a:avLst>
        </a:prstGeom>
        <a:noFill/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65"/>
              </a:solidFill>
            </a14:hiddenFill>
          </a:ext>
        </a:extLst>
      </xdr:spPr>
    </xdr:sp>
    <xdr:clientData/>
  </xdr:twoCellAnchor>
  <xdr:twoCellAnchor>
    <xdr:from>
      <xdr:col>13</xdr:col>
      <xdr:colOff>228599</xdr:colOff>
      <xdr:row>9</xdr:row>
      <xdr:rowOff>19439</xdr:rowOff>
    </xdr:from>
    <xdr:to>
      <xdr:col>13</xdr:col>
      <xdr:colOff>427653</xdr:colOff>
      <xdr:row>12</xdr:row>
      <xdr:rowOff>136073</xdr:rowOff>
    </xdr:to>
    <xdr:sp macro="" textlink="">
      <xdr:nvSpPr>
        <xdr:cNvPr id="2053" name="AutoShape 5">
          <a:extLst>
            <a:ext uri="{FF2B5EF4-FFF2-40B4-BE49-F238E27FC236}">
              <a16:creationId xmlns:a16="http://schemas.microsoft.com/office/drawing/2014/main" id="{00000000-0008-0000-0000-000005080000}"/>
            </a:ext>
          </a:extLst>
        </xdr:cNvPr>
        <xdr:cNvSpPr>
          <a:spLocks/>
        </xdr:cNvSpPr>
      </xdr:nvSpPr>
      <xdr:spPr bwMode="auto">
        <a:xfrm>
          <a:off x="8354007" y="2225740"/>
          <a:ext cx="199054" cy="651200"/>
        </a:xfrm>
        <a:prstGeom prst="leftBrace">
          <a:avLst>
            <a:gd name="adj1" fmla="val 38542"/>
            <a:gd name="adj2" fmla="val 50000"/>
          </a:avLst>
        </a:prstGeom>
        <a:noFill/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65"/>
              </a:solidFill>
            </a14:hiddenFill>
          </a:ext>
        </a:extLst>
      </xdr:spPr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123824</xdr:colOff>
      <xdr:row>5</xdr:row>
      <xdr:rowOff>9525</xdr:rowOff>
    </xdr:from>
    <xdr:to>
      <xdr:col>14</xdr:col>
      <xdr:colOff>304800</xdr:colOff>
      <xdr:row>8</xdr:row>
      <xdr:rowOff>133350</xdr:rowOff>
    </xdr:to>
    <xdr:sp macro="" textlink="">
      <xdr:nvSpPr>
        <xdr:cNvPr id="1025" name="AutoShape 1">
          <a:extLst>
            <a:ext uri="{FF2B5EF4-FFF2-40B4-BE49-F238E27FC236}">
              <a16:creationId xmlns:a16="http://schemas.microsoft.com/office/drawing/2014/main" id="{00000000-0008-0000-0100-000001040000}"/>
            </a:ext>
          </a:extLst>
        </xdr:cNvPr>
        <xdr:cNvSpPr>
          <a:spLocks/>
        </xdr:cNvSpPr>
      </xdr:nvSpPr>
      <xdr:spPr bwMode="auto">
        <a:xfrm>
          <a:off x="9058274" y="1457325"/>
          <a:ext cx="180976" cy="609600"/>
        </a:xfrm>
        <a:prstGeom prst="leftBrace">
          <a:avLst>
            <a:gd name="adj1" fmla="val 41146"/>
            <a:gd name="adj2" fmla="val 50000"/>
          </a:avLst>
        </a:prstGeom>
        <a:solidFill>
          <a:srgbClr xmlns:mc="http://schemas.openxmlformats.org/markup-compatibility/2006" xmlns:a14="http://schemas.microsoft.com/office/drawing/2010/main" val="008000" mc:Ignorable="a14" a14:legacySpreadsheetColorIndex="17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round/>
          <a:headEnd/>
          <a:tailEnd/>
        </a:ln>
      </xdr:spPr>
    </xdr:sp>
    <xdr:clientData/>
  </xdr:twoCellAnchor>
  <xdr:twoCellAnchor>
    <xdr:from>
      <xdr:col>14</xdr:col>
      <xdr:colOff>114300</xdr:colOff>
      <xdr:row>9</xdr:row>
      <xdr:rowOff>142875</xdr:rowOff>
    </xdr:from>
    <xdr:to>
      <xdr:col>14</xdr:col>
      <xdr:colOff>266700</xdr:colOff>
      <xdr:row>13</xdr:row>
      <xdr:rowOff>28575</xdr:rowOff>
    </xdr:to>
    <xdr:sp macro="" textlink="">
      <xdr:nvSpPr>
        <xdr:cNvPr id="1026" name="AutoShape 2">
          <a:extLst>
            <a:ext uri="{FF2B5EF4-FFF2-40B4-BE49-F238E27FC236}">
              <a16:creationId xmlns:a16="http://schemas.microsoft.com/office/drawing/2014/main" id="{00000000-0008-0000-0100-000002040000}"/>
            </a:ext>
          </a:extLst>
        </xdr:cNvPr>
        <xdr:cNvSpPr>
          <a:spLocks/>
        </xdr:cNvSpPr>
      </xdr:nvSpPr>
      <xdr:spPr bwMode="auto">
        <a:xfrm>
          <a:off x="9048750" y="2228850"/>
          <a:ext cx="152400" cy="647700"/>
        </a:xfrm>
        <a:prstGeom prst="leftBrace">
          <a:avLst>
            <a:gd name="adj1" fmla="val 73810"/>
            <a:gd name="adj2" fmla="val 50000"/>
          </a:avLst>
        </a:prstGeom>
        <a:solidFill>
          <a:srgbClr xmlns:mc="http://schemas.openxmlformats.org/markup-compatibility/2006" xmlns:a14="http://schemas.microsoft.com/office/drawing/2010/main" val="0000FF" mc:Ignorable="a14" a14:legacySpreadsheetColorIndex="12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round/>
          <a:headEnd/>
          <a:tailEnd/>
        </a:ln>
      </xdr:spPr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0</xdr:colOff>
      <xdr:row>67</xdr:row>
      <xdr:rowOff>0</xdr:rowOff>
    </xdr:from>
    <xdr:to>
      <xdr:col>3</xdr:col>
      <xdr:colOff>7620</xdr:colOff>
      <xdr:row>67</xdr:row>
      <xdr:rowOff>7620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9C524CA2-6C46-EC26-58A4-36D6E69D732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805940" y="11231880"/>
          <a:ext cx="7620" cy="76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oneCellAnchor>
    <xdr:from>
      <xdr:col>3</xdr:col>
      <xdr:colOff>0</xdr:colOff>
      <xdr:row>120</xdr:row>
      <xdr:rowOff>0</xdr:rowOff>
    </xdr:from>
    <xdr:ext cx="7620" cy="7620"/>
    <xdr:pic>
      <xdr:nvPicPr>
        <xdr:cNvPr id="2" name="Imagen 1">
          <a:extLst>
            <a:ext uri="{FF2B5EF4-FFF2-40B4-BE49-F238E27FC236}">
              <a16:creationId xmlns:a16="http://schemas.microsoft.com/office/drawing/2014/main" id="{2C40DB82-DE87-4940-949B-D71BC78A940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805940" y="11231880"/>
          <a:ext cx="7620" cy="76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121</xdr:row>
      <xdr:rowOff>0</xdr:rowOff>
    </xdr:from>
    <xdr:ext cx="7620" cy="7620"/>
    <xdr:pic>
      <xdr:nvPicPr>
        <xdr:cNvPr id="4" name="Imagen 3">
          <a:extLst>
            <a:ext uri="{FF2B5EF4-FFF2-40B4-BE49-F238E27FC236}">
              <a16:creationId xmlns:a16="http://schemas.microsoft.com/office/drawing/2014/main" id="{13FA0820-4753-4476-8B20-39A767EDF12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805940" y="20116800"/>
          <a:ext cx="7620" cy="76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121</xdr:row>
      <xdr:rowOff>0</xdr:rowOff>
    </xdr:from>
    <xdr:ext cx="7620" cy="7620"/>
    <xdr:pic>
      <xdr:nvPicPr>
        <xdr:cNvPr id="5" name="Imagen 4">
          <a:extLst>
            <a:ext uri="{FF2B5EF4-FFF2-40B4-BE49-F238E27FC236}">
              <a16:creationId xmlns:a16="http://schemas.microsoft.com/office/drawing/2014/main" id="{3F34AB56-43A1-426B-8FEB-F45D4245FA2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805940" y="20116800"/>
          <a:ext cx="7620" cy="76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206</xdr:row>
      <xdr:rowOff>0</xdr:rowOff>
    </xdr:from>
    <xdr:ext cx="7620" cy="7620"/>
    <xdr:pic>
      <xdr:nvPicPr>
        <xdr:cNvPr id="6" name="Imagen 5">
          <a:extLst>
            <a:ext uri="{FF2B5EF4-FFF2-40B4-BE49-F238E27FC236}">
              <a16:creationId xmlns:a16="http://schemas.microsoft.com/office/drawing/2014/main" id="{B6D63BE5-C786-4B05-98DB-1A6F5C12B32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805940" y="11231880"/>
          <a:ext cx="7620" cy="76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J:\Users\director\Downloads\BC%20SCORPIO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ap1"/>
      <sheetName val="GA"/>
      <sheetName val="Hid"/>
      <sheetName val="HidTRAB"/>
      <sheetName val="Partc."/>
      <sheetName val="ds3"/>
      <sheetName val="ds2"/>
      <sheetName val="dsBB"/>
      <sheetName val="ds"/>
      <sheetName val="ds (2)"/>
      <sheetName val="KN"/>
      <sheetName val="Max.GHM"/>
      <sheetName val="GSMman"/>
      <sheetName val="GSM"/>
      <sheetName val="Max KG"/>
      <sheetName val="HidCalc"/>
      <sheetName val="Tampa"/>
      <sheetName val="Hou"/>
      <sheetName val="Pan"/>
      <sheetName val="LB"/>
      <sheetName val="RB"/>
      <sheetName val="RB1"/>
      <sheetName val="Trin"/>
      <sheetName val="Col"/>
      <sheetName val="Kam"/>
      <sheetName val="Kam1"/>
      <sheetName val="Kam2"/>
      <sheetName val="Brasil"/>
      <sheetName val="Brasil1"/>
      <sheetName val="Toc1"/>
      <sheetName val="Toc2"/>
      <sheetName val="Tocp1"/>
      <sheetName val="Toc"/>
      <sheetName val="Mar2"/>
      <sheetName val="Mar"/>
      <sheetName val="CalcP3"/>
      <sheetName val="CalcP2"/>
      <sheetName val="CalcTimber"/>
      <sheetName val="Calc x P"/>
      <sheetName val="CalcV"/>
      <sheetName val="Calc"/>
      <sheetName val="HidGrain"/>
      <sheetName val="GSM3"/>
      <sheetName val="GrainEst3"/>
      <sheetName val="GSM2"/>
      <sheetName val="GrainEst2"/>
      <sheetName val="GSM1"/>
      <sheetName val="GrainEst1"/>
      <sheetName val="GRAIN Calc"/>
      <sheetName val="Grain"/>
      <sheetName val="grain front page"/>
      <sheetName val="grain part I"/>
      <sheetName val="grain part II"/>
      <sheetName val="grain part III"/>
      <sheetName val="Est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1">
    <tabColor theme="9" tint="0.59999389629810485"/>
  </sheetPr>
  <dimension ref="A1:Y94"/>
  <sheetViews>
    <sheetView zoomScale="98" zoomScaleNormal="98" workbookViewId="0">
      <selection activeCell="M4" sqref="M4"/>
    </sheetView>
  </sheetViews>
  <sheetFormatPr baseColWidth="10" defaultColWidth="11.44140625" defaultRowHeight="13.2" x14ac:dyDescent="0.25"/>
  <cols>
    <col min="1" max="1" width="11" style="10" customWidth="1"/>
    <col min="2" max="2" width="9.6640625" style="10" customWidth="1"/>
    <col min="3" max="3" width="9" style="10" customWidth="1"/>
    <col min="4" max="4" width="7.88671875" style="10" customWidth="1"/>
    <col min="5" max="6" width="9.44140625" style="10" customWidth="1"/>
    <col min="7" max="7" width="9.33203125" style="10" customWidth="1"/>
    <col min="8" max="8" width="8.6640625" style="10" customWidth="1"/>
    <col min="9" max="9" width="9.88671875" style="10" customWidth="1"/>
    <col min="10" max="10" width="8.44140625" style="10" customWidth="1"/>
    <col min="11" max="11" width="4.44140625" style="10" customWidth="1"/>
    <col min="12" max="12" width="13.109375" style="10" customWidth="1"/>
    <col min="13" max="13" width="11.44140625" style="10"/>
    <col min="14" max="14" width="9" style="10" customWidth="1"/>
    <col min="15" max="15" width="7.88671875" style="10" customWidth="1"/>
    <col min="16" max="16" width="7.44140625" style="10" customWidth="1"/>
    <col min="17" max="17" width="8.44140625" style="10" customWidth="1"/>
    <col min="18" max="18" width="7.44140625" style="10" customWidth="1"/>
    <col min="19" max="19" width="7.109375" style="10" customWidth="1"/>
    <col min="20" max="20" width="6.88671875" style="10" customWidth="1"/>
    <col min="21" max="21" width="8.44140625" style="10" customWidth="1"/>
    <col min="22" max="22" width="7.5546875" style="10" customWidth="1"/>
    <col min="23" max="23" width="8" style="10" customWidth="1"/>
    <col min="24" max="24" width="6.88671875" style="10" customWidth="1"/>
    <col min="25" max="16384" width="11.44140625" style="10"/>
  </cols>
  <sheetData>
    <row r="1" spans="1:25" ht="33.75" customHeight="1" thickTop="1" x14ac:dyDescent="0.25">
      <c r="A1" s="395" t="s">
        <v>99</v>
      </c>
      <c r="B1" s="395"/>
      <c r="C1" s="396" t="s">
        <v>56</v>
      </c>
      <c r="D1" s="397"/>
      <c r="E1" s="397"/>
      <c r="F1" s="398"/>
      <c r="G1" s="393" t="s">
        <v>0</v>
      </c>
      <c r="H1" s="394"/>
      <c r="I1" s="394"/>
      <c r="J1" s="7"/>
      <c r="K1" s="7"/>
      <c r="L1" s="383" t="s">
        <v>105</v>
      </c>
      <c r="M1" s="384"/>
      <c r="N1" s="384"/>
      <c r="O1" s="384"/>
      <c r="P1" s="8"/>
      <c r="Q1" s="9"/>
      <c r="R1" s="9"/>
      <c r="S1" s="9"/>
      <c r="T1" s="9"/>
      <c r="U1" s="9"/>
      <c r="V1" s="9"/>
      <c r="W1" s="9"/>
      <c r="X1" s="8"/>
      <c r="Y1" s="8"/>
    </row>
    <row r="2" spans="1:25" ht="18" customHeight="1" x14ac:dyDescent="0.25">
      <c r="A2" s="37" t="s">
        <v>1</v>
      </c>
      <c r="B2" s="1">
        <v>9</v>
      </c>
      <c r="C2" s="38" t="s">
        <v>84</v>
      </c>
      <c r="D2" s="39">
        <f>M29</f>
        <v>19280</v>
      </c>
      <c r="E2" s="40" t="s">
        <v>111</v>
      </c>
      <c r="F2" s="41">
        <f>D2/1.025</f>
        <v>18809.756097560978</v>
      </c>
      <c r="G2" s="11" t="s">
        <v>2</v>
      </c>
      <c r="H2" s="12" t="e">
        <v>#NAME?</v>
      </c>
      <c r="I2" s="13" t="e">
        <f>H2/1.025</f>
        <v>#NAME?</v>
      </c>
      <c r="J2" s="14"/>
      <c r="K2" s="14"/>
      <c r="L2" s="388" t="s">
        <v>64</v>
      </c>
      <c r="M2" s="389"/>
      <c r="N2" s="389"/>
      <c r="O2" s="389"/>
      <c r="P2" s="8"/>
      <c r="Q2" s="15"/>
      <c r="R2" s="15"/>
      <c r="S2" s="15"/>
      <c r="T2" s="15"/>
      <c r="U2" s="15"/>
      <c r="V2" s="16"/>
      <c r="W2" s="17"/>
      <c r="X2" s="8"/>
      <c r="Y2" s="8"/>
    </row>
    <row r="3" spans="1:25" ht="17.25" customHeight="1" x14ac:dyDescent="0.25">
      <c r="A3" s="8"/>
      <c r="B3" s="8"/>
      <c r="C3" s="38" t="s">
        <v>108</v>
      </c>
      <c r="D3" s="42">
        <f>Q29</f>
        <v>-0.76</v>
      </c>
      <c r="E3" s="40" t="s">
        <v>5</v>
      </c>
      <c r="F3" s="43">
        <f>O29</f>
        <v>23.76</v>
      </c>
      <c r="G3" s="11" t="s">
        <v>6</v>
      </c>
      <c r="H3" s="18" t="e">
        <v>#NAME?</v>
      </c>
      <c r="I3" s="18" t="e">
        <v>#NAME?</v>
      </c>
      <c r="J3" s="19"/>
      <c r="K3" s="19"/>
      <c r="L3" s="37" t="s">
        <v>51</v>
      </c>
      <c r="M3" s="3">
        <v>18751.3</v>
      </c>
      <c r="N3" s="37" t="s">
        <v>100</v>
      </c>
      <c r="O3" s="2">
        <v>1.0149999999999999</v>
      </c>
      <c r="P3" s="8"/>
      <c r="Q3" s="8"/>
      <c r="R3" s="8"/>
      <c r="S3" s="20"/>
      <c r="T3" s="21"/>
      <c r="U3" s="8"/>
      <c r="V3" s="8"/>
      <c r="W3" s="8"/>
      <c r="X3" s="8"/>
      <c r="Y3" s="8"/>
    </row>
    <row r="4" spans="1:25" ht="16.5" customHeight="1" x14ac:dyDescent="0.25">
      <c r="A4" s="8"/>
      <c r="B4" s="8"/>
      <c r="C4" s="38" t="s">
        <v>109</v>
      </c>
      <c r="D4" s="42">
        <f>S29</f>
        <v>2.02</v>
      </c>
      <c r="E4" s="40" t="s">
        <v>91</v>
      </c>
      <c r="F4" s="43">
        <f>U29</f>
        <v>218.5</v>
      </c>
      <c r="G4" s="11" t="s">
        <v>13</v>
      </c>
      <c r="H4" s="18" t="e">
        <v>#NAME?</v>
      </c>
      <c r="I4" s="18" t="e">
        <v>#NAME?</v>
      </c>
      <c r="J4" s="19"/>
      <c r="K4" s="19"/>
      <c r="L4" s="82" t="s">
        <v>14</v>
      </c>
      <c r="M4" s="99">
        <f>MATCH(M3,B25:B41,1)</f>
        <v>14</v>
      </c>
      <c r="N4" s="82"/>
      <c r="O4" s="82"/>
      <c r="P4" s="82"/>
      <c r="Q4" s="82"/>
      <c r="R4" s="82"/>
      <c r="S4" s="99"/>
      <c r="T4" s="82"/>
      <c r="U4" s="82"/>
      <c r="V4" s="82"/>
      <c r="W4" s="82"/>
      <c r="X4" s="82"/>
      <c r="Y4" s="82"/>
    </row>
    <row r="5" spans="1:25" ht="18" customHeight="1" thickBot="1" x14ac:dyDescent="0.3">
      <c r="A5" s="8"/>
      <c r="B5" s="8"/>
      <c r="C5" s="44"/>
      <c r="D5" s="45"/>
      <c r="E5" s="46" t="s">
        <v>110</v>
      </c>
      <c r="F5" s="47">
        <f>W29</f>
        <v>7.95</v>
      </c>
      <c r="G5" s="22"/>
      <c r="H5" s="8"/>
      <c r="I5" s="8"/>
      <c r="J5" s="8"/>
      <c r="K5" s="8"/>
      <c r="L5" s="82" t="s">
        <v>17</v>
      </c>
      <c r="M5" s="99">
        <f>INDEX(A25:H41,M4+1,2)</f>
        <v>19280</v>
      </c>
      <c r="N5" s="82" t="s">
        <v>18</v>
      </c>
      <c r="O5" s="99">
        <f>INDEX(A25:H41,M4+1,1)</f>
        <v>9</v>
      </c>
      <c r="P5" s="82"/>
      <c r="Q5" s="40" t="s">
        <v>6</v>
      </c>
      <c r="R5" s="42">
        <f>Q45</f>
        <v>-0.83230085470085502</v>
      </c>
      <c r="S5" s="99"/>
      <c r="T5" s="82"/>
      <c r="U5" s="99"/>
      <c r="V5" s="82"/>
      <c r="W5" s="82"/>
      <c r="X5" s="82"/>
      <c r="Y5" s="82"/>
    </row>
    <row r="6" spans="1:25" ht="18" thickTop="1" x14ac:dyDescent="0.3">
      <c r="A6" s="371" t="s">
        <v>16</v>
      </c>
      <c r="B6" s="371"/>
      <c r="C6" s="371"/>
      <c r="D6" s="372" t="s">
        <v>104</v>
      </c>
      <c r="E6" s="372"/>
      <c r="F6" s="372"/>
      <c r="G6" s="372"/>
      <c r="H6" s="372"/>
      <c r="I6" s="372"/>
      <c r="J6" s="48"/>
      <c r="K6" s="8"/>
      <c r="L6" s="82" t="s">
        <v>21</v>
      </c>
      <c r="M6" s="99">
        <f>INDEX(A25:H41,M4,2)</f>
        <v>18110</v>
      </c>
      <c r="N6" s="82" t="s">
        <v>22</v>
      </c>
      <c r="O6" s="99">
        <f>INDEX(A25:H41,M4,1)</f>
        <v>8.5</v>
      </c>
      <c r="P6" s="82"/>
      <c r="Q6" s="40" t="s">
        <v>13</v>
      </c>
      <c r="R6" s="42">
        <f>S45</f>
        <v>1.739834188034187</v>
      </c>
      <c r="S6" s="99"/>
      <c r="T6" s="82"/>
      <c r="U6" s="99"/>
      <c r="V6" s="82"/>
      <c r="W6" s="82"/>
      <c r="X6" s="82"/>
      <c r="Y6" s="82"/>
    </row>
    <row r="7" spans="1:25" ht="13.5" customHeight="1" x14ac:dyDescent="0.25">
      <c r="A7" s="373"/>
      <c r="B7" s="373"/>
      <c r="C7" s="373"/>
      <c r="D7" s="373"/>
      <c r="E7" s="373"/>
      <c r="F7" s="373"/>
      <c r="G7" s="373"/>
      <c r="H7" s="373"/>
      <c r="I7" s="373"/>
      <c r="J7"/>
      <c r="K7" s="8"/>
      <c r="L7" s="82" t="s">
        <v>25</v>
      </c>
      <c r="M7" s="99">
        <f>M5-M6</f>
        <v>1170</v>
      </c>
      <c r="N7" s="82" t="s">
        <v>26</v>
      </c>
      <c r="O7" s="99">
        <f>O5-O6</f>
        <v>0.5</v>
      </c>
      <c r="P7" s="82"/>
      <c r="Q7" s="40" t="s">
        <v>91</v>
      </c>
      <c r="R7" s="98">
        <f>U45</f>
        <v>214.52345299145298</v>
      </c>
      <c r="S7" s="99"/>
      <c r="T7" s="82"/>
      <c r="U7" s="99"/>
      <c r="V7" s="82"/>
      <c r="W7" s="82"/>
      <c r="X7" s="82"/>
      <c r="Y7" s="82"/>
    </row>
    <row r="8" spans="1:25" ht="20.25" customHeight="1" x14ac:dyDescent="0.25">
      <c r="A8" s="368" t="s">
        <v>65</v>
      </c>
      <c r="B8" s="369"/>
      <c r="C8" s="370"/>
      <c r="D8" s="390" t="s">
        <v>66</v>
      </c>
      <c r="E8" s="392"/>
      <c r="F8" s="392"/>
      <c r="G8" s="391"/>
      <c r="H8" s="390" t="s">
        <v>67</v>
      </c>
      <c r="I8" s="391"/>
      <c r="J8" s="49"/>
      <c r="K8" s="8"/>
      <c r="L8" s="82" t="s">
        <v>29</v>
      </c>
      <c r="M8" s="100">
        <f>M5-M3</f>
        <v>528.70000000000073</v>
      </c>
      <c r="N8" s="40" t="s">
        <v>101</v>
      </c>
      <c r="O8" s="101">
        <f>O5-((M8*O7)/M7)</f>
        <v>8.7740598290598282</v>
      </c>
      <c r="P8" s="82"/>
      <c r="Q8" s="40" t="s">
        <v>43</v>
      </c>
      <c r="R8" s="98">
        <f>O45</f>
        <v>23.624435897435898</v>
      </c>
      <c r="S8" s="100"/>
      <c r="T8" s="37"/>
      <c r="U8" s="102"/>
      <c r="V8" s="82"/>
      <c r="W8" s="82"/>
      <c r="X8" s="82"/>
      <c r="Y8" s="82"/>
    </row>
    <row r="9" spans="1:25" ht="15.75" customHeight="1" x14ac:dyDescent="0.25">
      <c r="A9" s="374" t="s">
        <v>68</v>
      </c>
      <c r="B9" s="374"/>
      <c r="C9" s="50">
        <v>149.32</v>
      </c>
      <c r="D9" s="387" t="s">
        <v>69</v>
      </c>
      <c r="E9" s="387"/>
      <c r="F9" s="387"/>
      <c r="G9" s="51">
        <v>22410.3</v>
      </c>
      <c r="H9" s="52" t="s">
        <v>41</v>
      </c>
      <c r="I9" s="53">
        <v>4387.3</v>
      </c>
      <c r="J9" s="54"/>
      <c r="K9" s="8"/>
      <c r="L9" s="82"/>
      <c r="M9" s="82"/>
      <c r="N9" s="82"/>
      <c r="O9" s="82"/>
      <c r="P9" s="82"/>
      <c r="Q9" s="82"/>
      <c r="R9" s="82"/>
      <c r="S9" s="82"/>
      <c r="T9"/>
      <c r="U9"/>
      <c r="V9" s="82"/>
      <c r="W9" s="82"/>
      <c r="X9" s="82"/>
      <c r="Y9" s="82"/>
    </row>
    <row r="10" spans="1:25" x14ac:dyDescent="0.25">
      <c r="A10" s="374" t="s">
        <v>70</v>
      </c>
      <c r="B10" s="374"/>
      <c r="C10" s="50">
        <v>140.80000000000001</v>
      </c>
      <c r="D10" s="387" t="s">
        <v>71</v>
      </c>
      <c r="E10" s="387"/>
      <c r="F10" s="387"/>
      <c r="G10" s="51">
        <v>19728.7</v>
      </c>
      <c r="H10" s="55" t="s">
        <v>72</v>
      </c>
      <c r="I10" s="53">
        <v>11.978999999999999</v>
      </c>
      <c r="J10" s="54"/>
      <c r="K10" s="8"/>
      <c r="L10" s="103" t="s">
        <v>73</v>
      </c>
      <c r="M10" s="104">
        <f>M3/(40*R8)</f>
        <v>19.843119303893292</v>
      </c>
      <c r="N10" s="105"/>
      <c r="O10" s="106" t="s">
        <v>6</v>
      </c>
      <c r="P10" s="107">
        <f>Q36</f>
        <v>-0.80690166199187163</v>
      </c>
      <c r="Q10" s="82"/>
      <c r="R10" s="82"/>
      <c r="S10" s="82"/>
      <c r="T10"/>
      <c r="U10"/>
      <c r="V10" s="82"/>
      <c r="W10" s="82"/>
      <c r="X10" s="82"/>
      <c r="Y10" s="82"/>
    </row>
    <row r="11" spans="1:25" x14ac:dyDescent="0.25">
      <c r="A11" s="374" t="s">
        <v>74</v>
      </c>
      <c r="B11" s="374"/>
      <c r="C11" s="50">
        <v>19.2</v>
      </c>
      <c r="D11" s="56"/>
      <c r="E11" s="57"/>
      <c r="F11" s="58"/>
      <c r="G11" s="59"/>
      <c r="H11" s="52" t="s">
        <v>75</v>
      </c>
      <c r="I11" s="53">
        <v>9.0060000000000002</v>
      </c>
      <c r="J11" s="54"/>
      <c r="K11" s="8"/>
      <c r="L11" s="108" t="s">
        <v>42</v>
      </c>
      <c r="M11" s="109">
        <f>(1.025-O3)*M10/(1.025-1)</f>
        <v>7.9372477215573527</v>
      </c>
      <c r="N11"/>
      <c r="O11" s="40" t="s">
        <v>13</v>
      </c>
      <c r="P11" s="110">
        <f>S36</f>
        <v>1.8382560597814974</v>
      </c>
      <c r="Q11" s="82"/>
      <c r="R11" s="82"/>
      <c r="S11" s="82"/>
      <c r="T11"/>
      <c r="U11"/>
      <c r="V11" s="82"/>
      <c r="W11" s="82"/>
      <c r="X11" s="82"/>
      <c r="Y11" s="82"/>
    </row>
    <row r="12" spans="1:25" ht="15.75" customHeight="1" x14ac:dyDescent="0.25">
      <c r="A12" s="374" t="s">
        <v>76</v>
      </c>
      <c r="B12" s="374"/>
      <c r="C12" s="50">
        <v>12.4</v>
      </c>
      <c r="D12" s="366" t="s">
        <v>77</v>
      </c>
      <c r="E12" s="367"/>
      <c r="F12" s="367"/>
      <c r="G12" s="367"/>
      <c r="H12" s="60"/>
      <c r="I12" s="60"/>
      <c r="J12" s="60"/>
      <c r="K12" s="8"/>
      <c r="L12" s="111" t="s">
        <v>46</v>
      </c>
      <c r="M12" s="101">
        <f>O8+(M11/100)</f>
        <v>8.8534323062754012</v>
      </c>
      <c r="N12"/>
      <c r="O12" s="40" t="s">
        <v>91</v>
      </c>
      <c r="P12" s="112">
        <f>U36/1.025*O3</f>
        <v>213.81386801883295</v>
      </c>
      <c r="Q12" s="113" t="s">
        <v>106</v>
      </c>
      <c r="R12" s="82"/>
      <c r="S12" s="82"/>
      <c r="T12"/>
      <c r="U12"/>
      <c r="V12" s="82"/>
      <c r="W12" s="82"/>
      <c r="X12" s="82"/>
      <c r="Y12" s="82"/>
    </row>
    <row r="13" spans="1:25" x14ac:dyDescent="0.25">
      <c r="A13" s="374" t="s">
        <v>78</v>
      </c>
      <c r="B13" s="374"/>
      <c r="C13" s="61">
        <v>9.3000000000000007</v>
      </c>
      <c r="D13" s="366" t="s">
        <v>79</v>
      </c>
      <c r="E13" s="367"/>
      <c r="F13" s="367"/>
      <c r="G13" s="367"/>
      <c r="H13" s="367"/>
      <c r="I13" s="367"/>
      <c r="J13" s="62"/>
      <c r="K13" s="8"/>
      <c r="L13" s="114"/>
      <c r="M13" s="82"/>
      <c r="N13"/>
      <c r="O13" s="40" t="s">
        <v>43</v>
      </c>
      <c r="P13" s="112">
        <f>O36/1.025*O3</f>
        <v>23.441112462948016</v>
      </c>
      <c r="Q13" s="82"/>
      <c r="R13" s="82"/>
      <c r="S13" s="82"/>
      <c r="T13"/>
      <c r="U13"/>
      <c r="V13" s="82"/>
      <c r="W13" s="82"/>
      <c r="X13" s="82"/>
      <c r="Y13" s="82"/>
    </row>
    <row r="14" spans="1:25" x14ac:dyDescent="0.25">
      <c r="A14" s="381" t="s">
        <v>80</v>
      </c>
      <c r="B14" s="382"/>
      <c r="C14" s="63" t="s">
        <v>81</v>
      </c>
      <c r="D14" s="62"/>
      <c r="E14" s="62"/>
      <c r="F14" s="62"/>
      <c r="G14" s="62"/>
      <c r="H14" s="62"/>
      <c r="I14" s="62"/>
      <c r="J14" s="62"/>
      <c r="K14" s="8"/>
      <c r="L14" s="115"/>
      <c r="M14" s="116"/>
      <c r="N14" s="116"/>
      <c r="O14" s="117"/>
      <c r="P14" s="118"/>
      <c r="Q14" s="82"/>
      <c r="R14" s="82"/>
      <c r="S14" s="82"/>
      <c r="T14"/>
      <c r="U14"/>
      <c r="V14" s="82"/>
      <c r="W14" s="82"/>
      <c r="X14" s="82"/>
      <c r="Y14" s="82"/>
    </row>
    <row r="15" spans="1:25" x14ac:dyDescent="0.25">
      <c r="A15" s="57"/>
      <c r="B15" s="64"/>
      <c r="C15" s="57"/>
      <c r="D15" s="65"/>
      <c r="E15" s="60"/>
      <c r="F15" s="60"/>
      <c r="G15" s="60"/>
      <c r="H15" s="60"/>
      <c r="I15" s="60"/>
      <c r="J15" s="60"/>
      <c r="K15" s="8"/>
      <c r="L15" s="119"/>
      <c r="M15" s="119"/>
      <c r="N15" s="119"/>
      <c r="O15" s="119"/>
      <c r="P15" s="119"/>
      <c r="Q15" s="119"/>
      <c r="R15" s="82"/>
      <c r="S15" s="82"/>
      <c r="T15"/>
      <c r="U15"/>
      <c r="V15" s="82"/>
      <c r="W15" s="82"/>
      <c r="X15" s="82"/>
      <c r="Y15" s="82"/>
    </row>
    <row r="16" spans="1:25" ht="18.75" customHeight="1" x14ac:dyDescent="0.25">
      <c r="A16" s="66" t="s">
        <v>82</v>
      </c>
      <c r="B16" s="67" t="s">
        <v>83</v>
      </c>
      <c r="C16" s="377" t="s">
        <v>84</v>
      </c>
      <c r="D16" s="378"/>
      <c r="E16" s="67" t="s">
        <v>85</v>
      </c>
      <c r="F16" s="68" t="s">
        <v>86</v>
      </c>
      <c r="G16" s="69" t="s">
        <v>87</v>
      </c>
      <c r="H16" s="67" t="s">
        <v>88</v>
      </c>
      <c r="I16" s="67" t="s">
        <v>43</v>
      </c>
      <c r="J16" s="70"/>
      <c r="L16" s="119"/>
      <c r="M16" s="119"/>
      <c r="N16" s="119"/>
      <c r="O16" s="119"/>
      <c r="P16" s="119"/>
      <c r="Q16" s="119"/>
      <c r="R16" s="82"/>
      <c r="S16" s="82"/>
      <c r="T16"/>
      <c r="U16"/>
      <c r="V16" s="82"/>
      <c r="W16" s="82"/>
      <c r="X16" s="82"/>
      <c r="Y16" s="82"/>
    </row>
    <row r="17" spans="1:25" ht="16.5" customHeight="1" x14ac:dyDescent="0.25">
      <c r="A17" s="71" t="s">
        <v>15</v>
      </c>
      <c r="B17" s="71">
        <v>9.3550000000000004</v>
      </c>
      <c r="C17" s="379">
        <v>19640</v>
      </c>
      <c r="D17" s="380"/>
      <c r="E17" s="72">
        <v>15252.7</v>
      </c>
      <c r="F17" s="71">
        <v>-0.63</v>
      </c>
      <c r="G17" s="71">
        <v>2.42</v>
      </c>
      <c r="H17" s="71"/>
      <c r="I17" s="71">
        <v>23.41</v>
      </c>
      <c r="J17" s="73"/>
      <c r="L17" s="82"/>
      <c r="M17" s="98"/>
      <c r="N17" s="82"/>
      <c r="O17" s="98"/>
      <c r="P17" s="82"/>
      <c r="Q17" s="82"/>
      <c r="R17" s="82"/>
      <c r="S17" s="82"/>
      <c r="T17"/>
      <c r="U17"/>
      <c r="V17" s="82"/>
      <c r="W17" s="82"/>
      <c r="X17" s="82"/>
      <c r="Y17" s="82"/>
    </row>
    <row r="18" spans="1:25" ht="13.5" customHeight="1" x14ac:dyDescent="0.25">
      <c r="A18" s="71" t="s">
        <v>19</v>
      </c>
      <c r="B18" s="74">
        <v>9.1720000000000006</v>
      </c>
      <c r="C18" s="379">
        <v>19214.78</v>
      </c>
      <c r="D18" s="380"/>
      <c r="E18" s="71">
        <v>14827.48</v>
      </c>
      <c r="F18" s="72">
        <v>-0.7</v>
      </c>
      <c r="G18" s="71">
        <v>2.2200000000000002</v>
      </c>
      <c r="H18" s="71"/>
      <c r="I18" s="72">
        <v>23.3</v>
      </c>
      <c r="J18" s="75"/>
      <c r="L18" s="82"/>
      <c r="M18" s="98"/>
      <c r="N18" s="82"/>
      <c r="O18" s="98"/>
      <c r="P18" s="82"/>
      <c r="Q18" s="82"/>
      <c r="R18" s="82"/>
      <c r="S18" s="82"/>
      <c r="T18"/>
      <c r="U18"/>
      <c r="V18" s="82"/>
      <c r="W18" s="82"/>
      <c r="X18" s="82"/>
      <c r="Y18" s="82"/>
    </row>
    <row r="19" spans="1:25" ht="14.25" customHeight="1" x14ac:dyDescent="0.25">
      <c r="A19" s="76" t="s">
        <v>23</v>
      </c>
      <c r="B19" s="77">
        <v>9.15</v>
      </c>
      <c r="C19" s="375">
        <v>19640</v>
      </c>
      <c r="D19" s="376"/>
      <c r="E19" s="63">
        <v>15252.7</v>
      </c>
      <c r="F19" s="76">
        <v>-0.71</v>
      </c>
      <c r="G19" s="76">
        <v>2.19</v>
      </c>
      <c r="H19" s="76">
        <v>221.05</v>
      </c>
      <c r="I19" s="76">
        <v>23.86</v>
      </c>
      <c r="J19" s="78"/>
      <c r="L19" s="82"/>
      <c r="M19" s="98"/>
      <c r="N19" s="82"/>
      <c r="O19" s="98"/>
      <c r="P19" s="82"/>
      <c r="Q19" s="82"/>
      <c r="R19" s="82"/>
      <c r="S19" s="82"/>
      <c r="T19"/>
      <c r="U19"/>
      <c r="V19" s="82"/>
      <c r="W19" s="82"/>
      <c r="X19" s="82"/>
      <c r="Y19" s="82"/>
    </row>
    <row r="20" spans="1:25" ht="14.25" customHeight="1" x14ac:dyDescent="0.25">
      <c r="A20" s="79" t="s">
        <v>27</v>
      </c>
      <c r="B20" s="80">
        <v>8.9719999999999995</v>
      </c>
      <c r="C20" s="385">
        <v>19214.78</v>
      </c>
      <c r="D20" s="386"/>
      <c r="E20" s="81">
        <v>14827.48</v>
      </c>
      <c r="F20" s="79">
        <v>-0.77</v>
      </c>
      <c r="G20" s="79">
        <v>1.98</v>
      </c>
      <c r="H20" s="79">
        <v>218.01</v>
      </c>
      <c r="I20" s="79">
        <v>23.74</v>
      </c>
      <c r="J20" s="70"/>
      <c r="L20" s="82"/>
      <c r="M20" s="98"/>
      <c r="N20" s="82"/>
      <c r="O20" s="98"/>
      <c r="P20" s="82"/>
      <c r="Q20" s="82"/>
      <c r="R20" s="82"/>
      <c r="S20" s="82"/>
      <c r="T20"/>
      <c r="U20"/>
      <c r="V20" s="82"/>
      <c r="W20" s="82"/>
      <c r="X20" s="82"/>
      <c r="Y20" s="82"/>
    </row>
    <row r="21" spans="1:25" ht="14.25" customHeight="1" x14ac:dyDescent="0.25">
      <c r="A21" s="76" t="s">
        <v>30</v>
      </c>
      <c r="B21" s="77">
        <v>8.7829999999999995</v>
      </c>
      <c r="C21" s="375">
        <v>18772</v>
      </c>
      <c r="D21" s="376"/>
      <c r="E21" s="63">
        <v>14384.7</v>
      </c>
      <c r="F21" s="76">
        <v>-0.83</v>
      </c>
      <c r="G21" s="76">
        <v>1.75</v>
      </c>
      <c r="H21" s="76">
        <v>214.68</v>
      </c>
      <c r="I21" s="76">
        <v>23.63</v>
      </c>
      <c r="J21" s="78"/>
      <c r="L21" s="82"/>
      <c r="M21" s="98"/>
      <c r="N21" s="82"/>
      <c r="O21" s="98"/>
      <c r="P21" s="82"/>
      <c r="Q21" s="82"/>
      <c r="R21" s="82"/>
      <c r="S21" s="82"/>
      <c r="T21"/>
      <c r="U21"/>
      <c r="V21" s="82"/>
      <c r="W21" s="82"/>
      <c r="X21" s="82"/>
      <c r="Y21" s="82"/>
    </row>
    <row r="22" spans="1:25" x14ac:dyDescent="0.25">
      <c r="A22" s="82"/>
      <c r="B22" s="82"/>
      <c r="C22" s="83"/>
      <c r="D22" s="84"/>
      <c r="E22" s="84"/>
      <c r="F22" s="84"/>
      <c r="G22" s="84"/>
      <c r="H22" s="85"/>
      <c r="I22" s="82"/>
      <c r="J22" s="82"/>
      <c r="K22" s="8"/>
      <c r="L22"/>
      <c r="M22"/>
      <c r="N22"/>
      <c r="O22"/>
      <c r="P22" s="82"/>
      <c r="Q22" s="82"/>
      <c r="R22" s="82"/>
      <c r="S22" s="82"/>
      <c r="T22"/>
      <c r="U22"/>
      <c r="V22" s="82"/>
      <c r="W22" s="82"/>
      <c r="X22" s="82"/>
      <c r="Y22" s="82"/>
    </row>
    <row r="23" spans="1:25" ht="15.6" x14ac:dyDescent="0.3">
      <c r="A23" s="86" t="s">
        <v>89</v>
      </c>
      <c r="B23" s="86" t="s">
        <v>90</v>
      </c>
      <c r="C23" s="86" t="s">
        <v>43</v>
      </c>
      <c r="D23" s="86" t="s">
        <v>86</v>
      </c>
      <c r="E23" s="87" t="s">
        <v>87</v>
      </c>
      <c r="F23" s="86" t="s">
        <v>91</v>
      </c>
      <c r="G23" s="86" t="s">
        <v>92</v>
      </c>
      <c r="H23" s="86" t="s">
        <v>93</v>
      </c>
      <c r="I23" s="86" t="s">
        <v>94</v>
      </c>
      <c r="J23" s="86" t="s">
        <v>89</v>
      </c>
      <c r="K23" s="15"/>
      <c r="L23" s="120"/>
      <c r="M23" s="120"/>
      <c r="N23" s="120"/>
      <c r="O23" s="120"/>
      <c r="P23" s="121"/>
      <c r="Q23" s="121"/>
      <c r="R23" s="121"/>
      <c r="S23" s="121"/>
      <c r="T23" s="121"/>
      <c r="U23" s="121"/>
      <c r="V23" s="121"/>
      <c r="W23" s="121"/>
      <c r="X23" s="121"/>
      <c r="Y23" s="121"/>
    </row>
    <row r="24" spans="1:25" x14ac:dyDescent="0.25">
      <c r="A24" s="88" t="s">
        <v>45</v>
      </c>
      <c r="B24" s="88" t="s">
        <v>95</v>
      </c>
      <c r="C24" s="88" t="s">
        <v>95</v>
      </c>
      <c r="D24" s="88" t="s">
        <v>45</v>
      </c>
      <c r="E24" s="88" t="s">
        <v>24</v>
      </c>
      <c r="F24" s="88" t="s">
        <v>96</v>
      </c>
      <c r="G24" s="88" t="s">
        <v>45</v>
      </c>
      <c r="H24" s="88" t="s">
        <v>45</v>
      </c>
      <c r="I24" s="89"/>
      <c r="J24" s="88" t="s">
        <v>45</v>
      </c>
      <c r="K24" s="22"/>
      <c r="L24" s="121"/>
      <c r="M24" s="121"/>
      <c r="N24" s="121"/>
      <c r="O24" s="121"/>
      <c r="P24" s="121"/>
      <c r="Q24" s="121"/>
      <c r="R24" s="121"/>
      <c r="S24" s="121"/>
      <c r="T24" s="121"/>
      <c r="U24" s="121"/>
      <c r="V24" s="121"/>
      <c r="W24" s="121"/>
      <c r="X24" s="121"/>
      <c r="Y24" s="121"/>
    </row>
    <row r="25" spans="1:25" ht="15.75" customHeight="1" x14ac:dyDescent="0.25">
      <c r="A25" s="63">
        <v>2.1</v>
      </c>
      <c r="B25" s="90">
        <v>4010</v>
      </c>
      <c r="C25" s="63">
        <v>20.77</v>
      </c>
      <c r="D25" s="63">
        <v>-1.68</v>
      </c>
      <c r="E25" s="63">
        <v>-1.66</v>
      </c>
      <c r="F25" s="51">
        <v>151.4</v>
      </c>
      <c r="G25" s="63">
        <v>14.24</v>
      </c>
      <c r="H25" s="91">
        <v>535</v>
      </c>
      <c r="I25" s="92">
        <v>0.68400000000000005</v>
      </c>
      <c r="J25" s="63">
        <v>2.1</v>
      </c>
      <c r="K25" s="26"/>
      <c r="L25" s="122" t="s">
        <v>50</v>
      </c>
      <c r="M25" s="123" t="s">
        <v>51</v>
      </c>
      <c r="N25" s="123"/>
      <c r="O25" s="124" t="s">
        <v>43</v>
      </c>
      <c r="P25" s="124"/>
      <c r="Q25" s="124" t="s">
        <v>4</v>
      </c>
      <c r="R25" s="124"/>
      <c r="S25" s="123" t="s">
        <v>11</v>
      </c>
      <c r="T25" s="123"/>
      <c r="U25" s="123" t="s">
        <v>12</v>
      </c>
      <c r="V25" s="123"/>
      <c r="W25" s="123" t="s">
        <v>52</v>
      </c>
      <c r="X25" s="123"/>
      <c r="Y25" s="121"/>
    </row>
    <row r="26" spans="1:25" ht="14.25" customHeight="1" x14ac:dyDescent="0.25">
      <c r="A26" s="93">
        <v>2.5</v>
      </c>
      <c r="B26" s="94">
        <v>4845</v>
      </c>
      <c r="C26" s="93">
        <v>21.05</v>
      </c>
      <c r="D26" s="93">
        <v>-1.68</v>
      </c>
      <c r="E26" s="93">
        <v>-1.61</v>
      </c>
      <c r="F26" s="95">
        <v>155.5</v>
      </c>
      <c r="G26" s="93">
        <v>12.39</v>
      </c>
      <c r="H26" s="96">
        <v>453</v>
      </c>
      <c r="I26" s="97">
        <v>0.69499999999999995</v>
      </c>
      <c r="J26" s="93">
        <v>2.5</v>
      </c>
      <c r="K26" s="26"/>
      <c r="L26" s="122"/>
      <c r="M26" s="125">
        <f>B2</f>
        <v>9</v>
      </c>
      <c r="N26" s="109">
        <f>CEILING(M26,0.5)</f>
        <v>9</v>
      </c>
      <c r="O26" s="121"/>
      <c r="P26" s="121"/>
      <c r="Q26" s="121"/>
      <c r="R26" s="121"/>
      <c r="S26" s="121"/>
      <c r="T26" s="121"/>
      <c r="U26" s="121"/>
      <c r="V26" s="121"/>
      <c r="W26" s="121"/>
      <c r="X26" s="121"/>
      <c r="Y26" s="121"/>
    </row>
    <row r="27" spans="1:25" x14ac:dyDescent="0.25">
      <c r="A27" s="63">
        <v>3</v>
      </c>
      <c r="B27" s="90">
        <v>5900</v>
      </c>
      <c r="C27" s="63">
        <v>21.3</v>
      </c>
      <c r="D27" s="63">
        <v>-1.67</v>
      </c>
      <c r="E27" s="63">
        <v>-1.54</v>
      </c>
      <c r="F27" s="51">
        <v>159.5</v>
      </c>
      <c r="G27" s="63">
        <v>10.85</v>
      </c>
      <c r="H27" s="91">
        <v>382</v>
      </c>
      <c r="I27" s="92">
        <v>0.70499999999999996</v>
      </c>
      <c r="J27" s="63">
        <v>3</v>
      </c>
      <c r="K27" s="26"/>
      <c r="L27" s="122"/>
      <c r="M27" s="121">
        <f>MATCH(M26,A25:A41,1)</f>
        <v>15</v>
      </c>
      <c r="N27" s="121">
        <f>MATCH(N26+0.00001,A25:A41,1)</f>
        <v>15</v>
      </c>
      <c r="O27" s="121">
        <f>M27</f>
        <v>15</v>
      </c>
      <c r="P27" s="121">
        <f>N27</f>
        <v>15</v>
      </c>
      <c r="Q27" s="121">
        <f>M27</f>
        <v>15</v>
      </c>
      <c r="R27" s="121">
        <f>N27</f>
        <v>15</v>
      </c>
      <c r="S27" s="121">
        <f>M27</f>
        <v>15</v>
      </c>
      <c r="T27" s="121">
        <f>N27</f>
        <v>15</v>
      </c>
      <c r="U27" s="121">
        <f>M27</f>
        <v>15</v>
      </c>
      <c r="V27" s="121">
        <f>N27</f>
        <v>15</v>
      </c>
      <c r="W27" s="121">
        <f>M27</f>
        <v>15</v>
      </c>
      <c r="X27" s="121">
        <f>N27</f>
        <v>15</v>
      </c>
      <c r="Y27" s="121"/>
    </row>
    <row r="28" spans="1:25" x14ac:dyDescent="0.25">
      <c r="A28" s="63">
        <v>3.5</v>
      </c>
      <c r="B28" s="90">
        <v>6970</v>
      </c>
      <c r="C28" s="63">
        <v>21.5</v>
      </c>
      <c r="D28" s="63">
        <v>-1.64</v>
      </c>
      <c r="E28" s="63">
        <v>-1.46</v>
      </c>
      <c r="F28" s="51">
        <v>163</v>
      </c>
      <c r="G28" s="63">
        <v>9.81</v>
      </c>
      <c r="H28" s="91">
        <v>332</v>
      </c>
      <c r="I28" s="92">
        <v>0.71299999999999997</v>
      </c>
      <c r="J28" s="63">
        <v>3.5</v>
      </c>
      <c r="K28" s="26"/>
      <c r="L28" s="122"/>
      <c r="M28" s="126">
        <f>INDEX($A$25:$H$41,M27,2)</f>
        <v>19280</v>
      </c>
      <c r="N28" s="126">
        <f>INDEX($A$25:$H$41,N27,2)</f>
        <v>19280</v>
      </c>
      <c r="O28" s="126">
        <f>INDEX($A$25:$H$41,M27,3)</f>
        <v>23.76</v>
      </c>
      <c r="P28" s="126">
        <f>INDEX($A$25:$H$41,P27,3)</f>
        <v>23.76</v>
      </c>
      <c r="Q28" s="121">
        <f>INDEX($A$25:$H$41,M27,4)</f>
        <v>-0.76</v>
      </c>
      <c r="R28" s="121">
        <f>INDEX($A$25:$H$41,R27,4)</f>
        <v>-0.76</v>
      </c>
      <c r="S28" s="121">
        <f>INDEX($A$25:$H$41,M27,5)</f>
        <v>2.02</v>
      </c>
      <c r="T28" s="121">
        <f>INDEX($A$25:$H$41,T27,5)</f>
        <v>2.02</v>
      </c>
      <c r="U28" s="121">
        <f>INDEX($A$25:$H$41,M27,6)</f>
        <v>218.5</v>
      </c>
      <c r="V28" s="121">
        <f>INDEX($A$25:$H$41,V27,6)</f>
        <v>218.5</v>
      </c>
      <c r="W28" s="121">
        <f>INDEX($A$25:$H$41,M27,7)</f>
        <v>7.95</v>
      </c>
      <c r="X28" s="121">
        <f>INDEX($A$25:$H$41,X27,7)</f>
        <v>7.95</v>
      </c>
      <c r="Y28" s="121"/>
    </row>
    <row r="29" spans="1:25" x14ac:dyDescent="0.25">
      <c r="A29" s="63">
        <v>4</v>
      </c>
      <c r="B29" s="90">
        <v>8040</v>
      </c>
      <c r="C29" s="63">
        <v>21.66</v>
      </c>
      <c r="D29" s="63">
        <v>-1.61</v>
      </c>
      <c r="E29" s="63">
        <v>-1.37</v>
      </c>
      <c r="F29" s="51">
        <v>166</v>
      </c>
      <c r="G29" s="63">
        <v>9.08</v>
      </c>
      <c r="H29" s="91">
        <v>293</v>
      </c>
      <c r="I29" s="92">
        <v>0.72</v>
      </c>
      <c r="J29" s="63">
        <v>4</v>
      </c>
      <c r="K29" s="26"/>
      <c r="L29" s="122"/>
      <c r="M29" s="127">
        <f>ABS(M26-N26+0.5)*(N28-M28)/0.5+M28</f>
        <v>19280</v>
      </c>
      <c r="N29" s="121"/>
      <c r="O29" s="128">
        <f>ABS(M26-N26+0.5)*(P28-O28)/0.5+O28</f>
        <v>23.76</v>
      </c>
      <c r="P29" s="121"/>
      <c r="Q29" s="129">
        <f>ABS(M26-N26+0.5)*(R28-Q28)/0.5+Q28</f>
        <v>-0.76</v>
      </c>
      <c r="R29" s="121"/>
      <c r="S29" s="129">
        <f>ABS(M26-N26+0.5)*(T28-S28)/0.5+S28</f>
        <v>2.02</v>
      </c>
      <c r="T29" s="121"/>
      <c r="U29" s="128">
        <f>ABS(M26-N26+0.5)*(V28-U28)/0.5+U28</f>
        <v>218.5</v>
      </c>
      <c r="V29" s="121"/>
      <c r="W29" s="129">
        <f>ABS(M26-N26+0.5)*(X28-W28)/0.5+W28</f>
        <v>7.95</v>
      </c>
      <c r="X29" s="121"/>
      <c r="Y29" s="121"/>
    </row>
    <row r="30" spans="1:25" x14ac:dyDescent="0.25">
      <c r="A30" s="63">
        <v>4.5</v>
      </c>
      <c r="B30" s="90">
        <v>9130</v>
      </c>
      <c r="C30" s="63">
        <v>21.8</v>
      </c>
      <c r="D30" s="63">
        <v>-1.57</v>
      </c>
      <c r="E30" s="63">
        <v>-1.27</v>
      </c>
      <c r="F30" s="51">
        <v>169.2</v>
      </c>
      <c r="G30" s="63">
        <v>8.58</v>
      </c>
      <c r="H30" s="91">
        <v>263</v>
      </c>
      <c r="I30" s="92">
        <v>0.72699999999999998</v>
      </c>
      <c r="J30" s="63">
        <v>4.5</v>
      </c>
      <c r="K30" s="26"/>
      <c r="L30" s="121"/>
      <c r="M30" s="121"/>
      <c r="N30" s="121"/>
      <c r="O30" s="121"/>
      <c r="P30" s="121"/>
      <c r="Q30" s="128"/>
      <c r="R30" s="121"/>
      <c r="S30" s="128"/>
      <c r="T30" s="121"/>
      <c r="U30" s="121"/>
      <c r="V30" s="121"/>
      <c r="W30" s="121"/>
      <c r="X30" s="121"/>
      <c r="Y30" s="121"/>
    </row>
    <row r="31" spans="1:25" ht="14.25" customHeight="1" x14ac:dyDescent="0.25">
      <c r="A31" s="93">
        <v>5</v>
      </c>
      <c r="B31" s="94">
        <v>10210</v>
      </c>
      <c r="C31" s="93">
        <v>21.95</v>
      </c>
      <c r="D31" s="93">
        <v>-1.52</v>
      </c>
      <c r="E31" s="93">
        <v>-1.1399999999999999</v>
      </c>
      <c r="F31" s="95">
        <v>172.3</v>
      </c>
      <c r="G31" s="93">
        <v>8.23</v>
      </c>
      <c r="H31" s="96">
        <v>239</v>
      </c>
      <c r="I31" s="97">
        <v>0.73299999999999998</v>
      </c>
      <c r="J31" s="93">
        <v>5</v>
      </c>
      <c r="K31" s="26"/>
      <c r="L31" s="121"/>
      <c r="M31" s="121"/>
      <c r="N31" s="121"/>
      <c r="O31" s="121"/>
      <c r="P31" s="121"/>
      <c r="Q31" s="121"/>
      <c r="R31" s="121"/>
      <c r="S31" s="121"/>
      <c r="T31" s="121"/>
      <c r="U31" s="121"/>
      <c r="V31" s="121"/>
      <c r="W31" s="121"/>
      <c r="X31" s="121"/>
      <c r="Y31" s="121"/>
    </row>
    <row r="32" spans="1:25" x14ac:dyDescent="0.25">
      <c r="A32" s="63">
        <v>5.5</v>
      </c>
      <c r="B32" s="90">
        <v>11300</v>
      </c>
      <c r="C32" s="63">
        <v>22.1</v>
      </c>
      <c r="D32" s="63">
        <v>-1.48</v>
      </c>
      <c r="E32" s="63">
        <v>-0.99</v>
      </c>
      <c r="F32" s="51">
        <v>176</v>
      </c>
      <c r="G32" s="63">
        <v>8</v>
      </c>
      <c r="H32" s="91">
        <v>221</v>
      </c>
      <c r="I32" s="92">
        <v>0.74</v>
      </c>
      <c r="J32" s="63">
        <v>5.5</v>
      </c>
      <c r="K32" s="26"/>
      <c r="L32" s="121"/>
      <c r="M32" s="121"/>
      <c r="N32" s="121"/>
      <c r="O32" s="121"/>
      <c r="P32" s="121"/>
      <c r="Q32" s="121"/>
      <c r="R32" s="121"/>
      <c r="S32" s="121"/>
      <c r="T32" s="121"/>
      <c r="U32" s="121"/>
      <c r="V32" s="121"/>
      <c r="W32" s="121"/>
      <c r="X32" s="121"/>
      <c r="Y32" s="121"/>
    </row>
    <row r="33" spans="1:25" ht="14.25" customHeight="1" x14ac:dyDescent="0.25">
      <c r="A33" s="63">
        <v>6</v>
      </c>
      <c r="B33" s="90">
        <v>12400</v>
      </c>
      <c r="C33" s="63">
        <v>22.3</v>
      </c>
      <c r="D33" s="63">
        <v>-1.43</v>
      </c>
      <c r="E33" s="63">
        <v>-0.77</v>
      </c>
      <c r="F33" s="51">
        <v>179.4</v>
      </c>
      <c r="G33" s="63">
        <v>7.85</v>
      </c>
      <c r="H33" s="91">
        <v>206</v>
      </c>
      <c r="I33" s="92">
        <v>0.74399999999999999</v>
      </c>
      <c r="J33" s="63">
        <v>6</v>
      </c>
      <c r="K33" s="26"/>
      <c r="L33" s="122" t="s">
        <v>97</v>
      </c>
      <c r="M33" s="129">
        <f>M12</f>
        <v>8.8534323062754012</v>
      </c>
      <c r="N33" s="109">
        <f>CEILING(M33,0.5)</f>
        <v>9</v>
      </c>
      <c r="O33" s="121"/>
      <c r="P33" s="121"/>
      <c r="Q33" s="121"/>
      <c r="R33" s="121"/>
      <c r="S33" s="121"/>
      <c r="T33" s="121"/>
      <c r="U33" s="121"/>
      <c r="V33" s="121"/>
      <c r="W33" s="121"/>
      <c r="X33" s="121"/>
      <c r="Y33" s="121"/>
    </row>
    <row r="34" spans="1:25" x14ac:dyDescent="0.25">
      <c r="A34" s="63">
        <v>6.5</v>
      </c>
      <c r="B34" s="90">
        <v>13540</v>
      </c>
      <c r="C34" s="63">
        <v>22.45</v>
      </c>
      <c r="D34" s="63">
        <v>-1.36</v>
      </c>
      <c r="E34" s="63">
        <v>-0.48</v>
      </c>
      <c r="F34" s="51">
        <v>183.6</v>
      </c>
      <c r="G34" s="63">
        <v>7.77</v>
      </c>
      <c r="H34" s="91">
        <v>194</v>
      </c>
      <c r="I34" s="92">
        <v>0.749</v>
      </c>
      <c r="J34" s="63">
        <v>6.5</v>
      </c>
      <c r="K34" s="26"/>
      <c r="L34" s="122"/>
      <c r="M34" s="121">
        <f>MATCH(M33,A25:A41,1)</f>
        <v>14</v>
      </c>
      <c r="N34" s="121">
        <f>MATCH(N33+0.00001,A25:A41,1)</f>
        <v>15</v>
      </c>
      <c r="O34" s="121">
        <f>M34</f>
        <v>14</v>
      </c>
      <c r="P34" s="121">
        <f>N34</f>
        <v>15</v>
      </c>
      <c r="Q34" s="121">
        <f>M34</f>
        <v>14</v>
      </c>
      <c r="R34" s="121">
        <f>N34</f>
        <v>15</v>
      </c>
      <c r="S34" s="121">
        <f>M34</f>
        <v>14</v>
      </c>
      <c r="T34" s="121">
        <f>N34</f>
        <v>15</v>
      </c>
      <c r="U34" s="121">
        <f>M34</f>
        <v>14</v>
      </c>
      <c r="V34" s="121">
        <f>N34</f>
        <v>15</v>
      </c>
      <c r="W34" s="121">
        <f>M34</f>
        <v>14</v>
      </c>
      <c r="X34" s="121">
        <f>N34</f>
        <v>15</v>
      </c>
      <c r="Y34" s="121"/>
    </row>
    <row r="35" spans="1:25" x14ac:dyDescent="0.25">
      <c r="A35" s="63">
        <v>7</v>
      </c>
      <c r="B35" s="90">
        <v>14670</v>
      </c>
      <c r="C35" s="63">
        <v>22.7</v>
      </c>
      <c r="D35" s="63">
        <v>-1.28</v>
      </c>
      <c r="E35" s="63">
        <v>-0.12</v>
      </c>
      <c r="F35" s="51">
        <v>188.7</v>
      </c>
      <c r="G35" s="63">
        <v>7.73</v>
      </c>
      <c r="H35" s="91">
        <v>185</v>
      </c>
      <c r="I35" s="92">
        <v>0.752</v>
      </c>
      <c r="J35" s="63">
        <v>7</v>
      </c>
      <c r="K35" s="26"/>
      <c r="L35" s="122"/>
      <c r="M35" s="126">
        <f>INDEX(A25:H41,M34,2)</f>
        <v>18110</v>
      </c>
      <c r="N35" s="126">
        <f>INDEX(A25:H41,N34,2)</f>
        <v>19280</v>
      </c>
      <c r="O35" s="126">
        <f>INDEX(A25:H41,M34,3)</f>
        <v>23.46</v>
      </c>
      <c r="P35" s="126">
        <f>INDEX(A25:H41,P34,3)</f>
        <v>23.76</v>
      </c>
      <c r="Q35" s="121">
        <f>INDEX(A25:H41,M34,4)</f>
        <v>-0.92</v>
      </c>
      <c r="R35" s="121">
        <f>INDEX(A25:H41,R34,4)</f>
        <v>-0.76</v>
      </c>
      <c r="S35" s="121">
        <f>INDEX(A25:H41,M34,5)</f>
        <v>1.4</v>
      </c>
      <c r="T35" s="121">
        <f>INDEX(A25:H41,T34,5)</f>
        <v>2.02</v>
      </c>
      <c r="U35" s="121">
        <f>INDEX(A25:H41,M34,6)</f>
        <v>209.7</v>
      </c>
      <c r="V35" s="121">
        <f>INDEX(A25:H41,V34,6)</f>
        <v>218.5</v>
      </c>
      <c r="W35" s="121">
        <f>INDEX(A25:H41,M34,7)</f>
        <v>7.85</v>
      </c>
      <c r="X35" s="121">
        <f>INDEX(A25:H41,X34,7)</f>
        <v>7.95</v>
      </c>
      <c r="Y35" s="121"/>
    </row>
    <row r="36" spans="1:25" ht="14.25" customHeight="1" x14ac:dyDescent="0.25">
      <c r="A36" s="93">
        <v>7.5</v>
      </c>
      <c r="B36" s="94">
        <v>15800</v>
      </c>
      <c r="C36" s="93">
        <v>22.9</v>
      </c>
      <c r="D36" s="93">
        <v>-1.18</v>
      </c>
      <c r="E36" s="93">
        <v>0.31</v>
      </c>
      <c r="F36" s="95">
        <v>194.5</v>
      </c>
      <c r="G36" s="93">
        <v>7.74</v>
      </c>
      <c r="H36" s="96">
        <v>178</v>
      </c>
      <c r="I36" s="97">
        <v>0.75600000000000001</v>
      </c>
      <c r="J36" s="93">
        <v>7.5</v>
      </c>
      <c r="K36" s="26"/>
      <c r="L36" s="122"/>
      <c r="M36" s="127">
        <f>ABS(M33-N33+0.5)*(N35-M35)/0.5+M35</f>
        <v>18937.031596684439</v>
      </c>
      <c r="N36" s="121"/>
      <c r="O36" s="129">
        <f>ABS(M33-N33+0.5)*(P35-O35)/0.5+O35</f>
        <v>23.672059383765241</v>
      </c>
      <c r="P36" s="121"/>
      <c r="Q36" s="128">
        <f>ABS(M33-N33+0.5)*(R35-Q35)/0.5+Q35</f>
        <v>-0.80690166199187163</v>
      </c>
      <c r="R36" s="121"/>
      <c r="S36" s="128">
        <f>ABS(M33-N33+0.5)*(T35-S35)/0.5+S35</f>
        <v>1.8382560597814974</v>
      </c>
      <c r="T36" s="121"/>
      <c r="U36" s="127">
        <f>ABS(M33-N33+0.5)*(V35-U35)/0.5+U35</f>
        <v>215.92040859044707</v>
      </c>
      <c r="V36" s="121"/>
      <c r="W36" s="128">
        <f>ABS(M33-N33+0.5)*(X35-W35)/0.5+W35</f>
        <v>7.9206864612550802</v>
      </c>
      <c r="X36" s="121"/>
      <c r="Y36" s="121"/>
    </row>
    <row r="37" spans="1:25" x14ac:dyDescent="0.25">
      <c r="A37" s="63">
        <v>8</v>
      </c>
      <c r="B37" s="90">
        <v>16950</v>
      </c>
      <c r="C37" s="63">
        <v>23.17</v>
      </c>
      <c r="D37" s="63">
        <v>-1.06</v>
      </c>
      <c r="E37" s="63">
        <v>0.82</v>
      </c>
      <c r="F37" s="51">
        <v>202</v>
      </c>
      <c r="G37" s="63">
        <v>7.78</v>
      </c>
      <c r="H37" s="91">
        <v>173</v>
      </c>
      <c r="I37" s="92">
        <v>0.76</v>
      </c>
      <c r="J37" s="63">
        <v>8</v>
      </c>
      <c r="K37" s="26"/>
      <c r="L37" s="121"/>
      <c r="M37" s="121"/>
      <c r="N37" s="121"/>
      <c r="O37" s="121"/>
      <c r="P37" s="121"/>
      <c r="Q37" s="128"/>
      <c r="R37" s="121"/>
      <c r="S37" s="128"/>
      <c r="T37" s="121"/>
      <c r="U37" s="128"/>
      <c r="V37" s="121"/>
      <c r="W37" s="121"/>
      <c r="X37" s="121"/>
      <c r="Y37" s="121"/>
    </row>
    <row r="38" spans="1:25" x14ac:dyDescent="0.25">
      <c r="A38" s="63">
        <v>8.5</v>
      </c>
      <c r="B38" s="90">
        <v>18110</v>
      </c>
      <c r="C38" s="63">
        <v>23.46</v>
      </c>
      <c r="D38" s="63">
        <v>-0.92</v>
      </c>
      <c r="E38" s="63">
        <v>1.4</v>
      </c>
      <c r="F38" s="51">
        <v>209.7</v>
      </c>
      <c r="G38" s="63">
        <v>7.85</v>
      </c>
      <c r="H38" s="91">
        <v>168</v>
      </c>
      <c r="I38" s="92">
        <v>0.76500000000000001</v>
      </c>
      <c r="J38" s="63">
        <v>8.5</v>
      </c>
      <c r="K38" s="26"/>
      <c r="L38" s="121"/>
      <c r="M38" s="121"/>
      <c r="N38" s="121"/>
      <c r="O38" s="121"/>
      <c r="P38" s="121"/>
      <c r="Q38" s="121"/>
      <c r="R38" s="121"/>
      <c r="S38" s="121"/>
      <c r="T38" s="121"/>
      <c r="U38" s="121"/>
      <c r="V38" s="121"/>
      <c r="W38" s="121"/>
      <c r="X38" s="121"/>
      <c r="Y38" s="121"/>
    </row>
    <row r="39" spans="1:25" x14ac:dyDescent="0.25">
      <c r="A39" s="63">
        <v>9</v>
      </c>
      <c r="B39" s="90">
        <v>19280</v>
      </c>
      <c r="C39" s="63">
        <v>23.76</v>
      </c>
      <c r="D39" s="63">
        <v>-0.76</v>
      </c>
      <c r="E39" s="63">
        <v>2.02</v>
      </c>
      <c r="F39" s="51">
        <v>218.5</v>
      </c>
      <c r="G39" s="63">
        <v>7.95</v>
      </c>
      <c r="H39" s="91">
        <v>164</v>
      </c>
      <c r="I39" s="92">
        <v>0.77</v>
      </c>
      <c r="J39" s="63">
        <v>9</v>
      </c>
      <c r="K39" s="26"/>
      <c r="L39" s="121" t="s">
        <v>98</v>
      </c>
      <c r="M39" s="126">
        <f>M36/1.025</f>
        <v>18475.152777253112</v>
      </c>
      <c r="N39" s="121"/>
      <c r="O39" s="121"/>
      <c r="P39" s="121"/>
      <c r="Q39" s="121"/>
      <c r="R39" s="121"/>
      <c r="S39" s="121"/>
      <c r="T39" s="121"/>
      <c r="U39" s="121"/>
      <c r="V39" s="121"/>
      <c r="W39" s="121"/>
      <c r="X39" s="121"/>
      <c r="Y39" s="121"/>
    </row>
    <row r="40" spans="1:25" x14ac:dyDescent="0.25">
      <c r="A40" s="63">
        <v>9.5</v>
      </c>
      <c r="B40" s="90">
        <v>20480</v>
      </c>
      <c r="C40" s="63">
        <v>24.1</v>
      </c>
      <c r="D40" s="63">
        <v>-0.57999999999999996</v>
      </c>
      <c r="E40" s="63">
        <v>2.59</v>
      </c>
      <c r="F40" s="51">
        <v>227</v>
      </c>
      <c r="G40" s="63">
        <v>8.07</v>
      </c>
      <c r="H40" s="91">
        <v>160</v>
      </c>
      <c r="I40" s="92">
        <v>0.77500000000000002</v>
      </c>
      <c r="J40" s="63">
        <v>9.5</v>
      </c>
      <c r="K40" s="26"/>
      <c r="L40" s="121"/>
      <c r="M40" s="121"/>
      <c r="N40" s="121"/>
      <c r="O40" s="121"/>
      <c r="P40" s="121"/>
      <c r="Q40" s="121"/>
      <c r="R40" s="121"/>
      <c r="S40" s="121"/>
      <c r="T40" s="121"/>
      <c r="U40" s="121"/>
      <c r="V40" s="121"/>
      <c r="W40" s="121"/>
      <c r="X40" s="121"/>
      <c r="Y40" s="121"/>
    </row>
    <row r="41" spans="1:25" ht="15" customHeight="1" x14ac:dyDescent="0.25">
      <c r="A41" s="93">
        <v>10</v>
      </c>
      <c r="B41" s="94">
        <v>21700</v>
      </c>
      <c r="C41" s="93">
        <v>24.4</v>
      </c>
      <c r="D41" s="93">
        <v>-0.4</v>
      </c>
      <c r="E41" s="93">
        <v>3</v>
      </c>
      <c r="F41" s="95">
        <v>235</v>
      </c>
      <c r="G41" s="93">
        <v>8.2100000000000009</v>
      </c>
      <c r="H41" s="96">
        <v>157</v>
      </c>
      <c r="I41" s="97">
        <v>0.78</v>
      </c>
      <c r="J41" s="93">
        <v>10</v>
      </c>
      <c r="K41" s="26"/>
      <c r="L41" s="122" t="s">
        <v>50</v>
      </c>
      <c r="M41" s="123"/>
      <c r="N41" s="123"/>
      <c r="O41" s="124" t="s">
        <v>43</v>
      </c>
      <c r="P41" s="124"/>
      <c r="Q41" s="124" t="s">
        <v>4</v>
      </c>
      <c r="R41" s="124"/>
      <c r="S41" s="123" t="s">
        <v>11</v>
      </c>
      <c r="T41" s="123"/>
      <c r="U41" s="123" t="s">
        <v>12</v>
      </c>
      <c r="V41" s="123"/>
      <c r="W41" s="123" t="s">
        <v>52</v>
      </c>
      <c r="X41" s="123"/>
      <c r="Y41" s="121"/>
    </row>
    <row r="42" spans="1:25" x14ac:dyDescent="0.25">
      <c r="A42" s="98"/>
      <c r="B42" s="82"/>
      <c r="C42" s="98"/>
      <c r="D42" s="98"/>
      <c r="E42" s="98"/>
      <c r="F42" s="98"/>
      <c r="G42" s="98"/>
      <c r="H42" s="42"/>
      <c r="I42" s="98"/>
      <c r="J42" s="98"/>
      <c r="K42" s="26"/>
      <c r="L42" s="122"/>
      <c r="M42" s="125">
        <f>O8</f>
        <v>8.7740598290598282</v>
      </c>
      <c r="N42" s="109">
        <f>CEILING(M42,0.5)</f>
        <v>9</v>
      </c>
      <c r="O42" s="121"/>
      <c r="P42" s="121"/>
      <c r="Q42" s="121"/>
      <c r="R42" s="121"/>
      <c r="S42" s="121"/>
      <c r="T42" s="121"/>
      <c r="U42" s="121"/>
      <c r="V42" s="121"/>
      <c r="W42" s="121"/>
      <c r="X42" s="121"/>
      <c r="Y42" s="121"/>
    </row>
    <row r="43" spans="1:25" x14ac:dyDescent="0.25">
      <c r="A43" s="98"/>
      <c r="B43" s="82"/>
      <c r="C43" s="98"/>
      <c r="D43" s="98"/>
      <c r="E43" s="98"/>
      <c r="F43" s="98"/>
      <c r="G43" s="98"/>
      <c r="H43" s="42"/>
      <c r="I43" s="98"/>
      <c r="J43" s="98"/>
      <c r="K43" s="26"/>
      <c r="L43" s="122"/>
      <c r="M43" s="121">
        <f>MATCH(M42,A25:A41,1)</f>
        <v>14</v>
      </c>
      <c r="N43" s="121">
        <f>MATCH(N42+0.00001,A25:A41,1)</f>
        <v>15</v>
      </c>
      <c r="O43" s="121">
        <f>M43</f>
        <v>14</v>
      </c>
      <c r="P43" s="121">
        <f>N43</f>
        <v>15</v>
      </c>
      <c r="Q43" s="121">
        <f>M43</f>
        <v>14</v>
      </c>
      <c r="R43" s="121">
        <f>N43</f>
        <v>15</v>
      </c>
      <c r="S43" s="121">
        <f>M43</f>
        <v>14</v>
      </c>
      <c r="T43" s="121">
        <f>N43</f>
        <v>15</v>
      </c>
      <c r="U43" s="121">
        <f>M43</f>
        <v>14</v>
      </c>
      <c r="V43" s="121">
        <f>N43</f>
        <v>15</v>
      </c>
      <c r="W43" s="121">
        <f>M43</f>
        <v>14</v>
      </c>
      <c r="X43" s="121">
        <f>N43</f>
        <v>15</v>
      </c>
      <c r="Y43" s="121"/>
    </row>
    <row r="44" spans="1:25" x14ac:dyDescent="0.25">
      <c r="A44"/>
      <c r="B44"/>
      <c r="C44"/>
      <c r="D44"/>
      <c r="E44"/>
      <c r="F44"/>
      <c r="G44"/>
      <c r="H44"/>
      <c r="I44"/>
      <c r="J44"/>
      <c r="L44" s="122"/>
      <c r="M44" s="126">
        <f>INDEX($A$25:$H$41,M43,2)</f>
        <v>18110</v>
      </c>
      <c r="N44" s="126">
        <f>INDEX($A$25:$H$41,N43,2)</f>
        <v>19280</v>
      </c>
      <c r="O44" s="126">
        <f>INDEX($A$25:$H$41,M43,3)</f>
        <v>23.46</v>
      </c>
      <c r="P44" s="126">
        <f>INDEX($A$25:$H$41,P43,3)</f>
        <v>23.76</v>
      </c>
      <c r="Q44" s="121">
        <f>INDEX($A$25:$H$41,M43,4)</f>
        <v>-0.92</v>
      </c>
      <c r="R44" s="121">
        <f>INDEX($A$25:$H$41,R43,4)</f>
        <v>-0.76</v>
      </c>
      <c r="S44" s="121">
        <f>INDEX($A$25:$H$41,M43,5)</f>
        <v>1.4</v>
      </c>
      <c r="T44" s="121">
        <f>INDEX($A$25:$H$41,T43,5)</f>
        <v>2.02</v>
      </c>
      <c r="U44" s="121">
        <f>INDEX($A$25:$H$41,M43,6)</f>
        <v>209.7</v>
      </c>
      <c r="V44" s="121">
        <f>INDEX($A$25:$H$41,V43,6)</f>
        <v>218.5</v>
      </c>
      <c r="W44" s="121">
        <f>INDEX($A$25:$H$41,M43,7)</f>
        <v>7.85</v>
      </c>
      <c r="X44" s="121">
        <f>INDEX($A$25:$H$41,X43,7)</f>
        <v>7.95</v>
      </c>
      <c r="Y44" s="121"/>
    </row>
    <row r="45" spans="1:25" x14ac:dyDescent="0.25">
      <c r="A45"/>
      <c r="B45"/>
      <c r="C45"/>
      <c r="D45"/>
      <c r="E45"/>
      <c r="F45"/>
      <c r="G45"/>
      <c r="H45"/>
      <c r="I45"/>
      <c r="J45"/>
      <c r="L45" s="122"/>
      <c r="M45" s="127">
        <f>ABS(M42-N42+0.5)*(N44-M44)/0.5+M44</f>
        <v>18751.3</v>
      </c>
      <c r="N45" s="121"/>
      <c r="O45" s="128">
        <f>ABS(M42-N42+0.5)*(P44-O44)/0.5+O44</f>
        <v>23.624435897435898</v>
      </c>
      <c r="P45" s="121"/>
      <c r="Q45" s="129">
        <f>ABS(M42-N42+0.5)*(R44-Q44)/0.5+Q44</f>
        <v>-0.83230085470085502</v>
      </c>
      <c r="R45" s="121"/>
      <c r="S45" s="129">
        <f>ABS(M42-N42+0.5)*(T44-S44)/0.5+S44</f>
        <v>1.739834188034187</v>
      </c>
      <c r="T45" s="121"/>
      <c r="U45" s="128">
        <f>ABS(M42-N42+0.5)*(V44-U44)/0.5+U44</f>
        <v>214.52345299145298</v>
      </c>
      <c r="V45" s="121"/>
      <c r="W45" s="129">
        <f>ABS(M42-N42+0.5)*(X44-W44)/0.5+W44</f>
        <v>7.904811965811966</v>
      </c>
      <c r="X45" s="121"/>
      <c r="Y45" s="121"/>
    </row>
    <row r="46" spans="1:25" x14ac:dyDescent="0.25">
      <c r="A46"/>
      <c r="B46"/>
      <c r="C46"/>
      <c r="D46"/>
      <c r="E46"/>
      <c r="F46"/>
      <c r="G46"/>
      <c r="H46"/>
      <c r="I46"/>
      <c r="J46"/>
      <c r="L46" s="121"/>
      <c r="M46" s="121"/>
      <c r="N46" s="121"/>
      <c r="O46" s="121"/>
      <c r="P46" s="121"/>
      <c r="Q46" s="128"/>
      <c r="R46" s="121"/>
      <c r="S46" s="128"/>
      <c r="T46" s="121"/>
      <c r="U46" s="121"/>
      <c r="V46" s="121"/>
      <c r="W46" s="121"/>
      <c r="X46" s="121"/>
      <c r="Y46" s="121"/>
    </row>
    <row r="47" spans="1:25" x14ac:dyDescent="0.25">
      <c r="A47"/>
      <c r="B47"/>
      <c r="C47"/>
      <c r="D47"/>
      <c r="E47"/>
      <c r="F47"/>
      <c r="G47"/>
      <c r="H47"/>
      <c r="I47"/>
      <c r="J47"/>
      <c r="L47" s="121"/>
      <c r="M47" s="121"/>
      <c r="N47" s="121"/>
      <c r="O47" s="121"/>
      <c r="P47" s="121"/>
      <c r="Q47" s="130"/>
      <c r="R47" s="109"/>
      <c r="S47" s="121"/>
      <c r="T47" s="121"/>
      <c r="U47" s="121"/>
      <c r="V47" s="121"/>
      <c r="W47" s="121"/>
      <c r="X47" s="121"/>
      <c r="Y47" s="121"/>
    </row>
    <row r="48" spans="1:25" x14ac:dyDescent="0.25">
      <c r="A48"/>
      <c r="B48"/>
      <c r="C48"/>
      <c r="D48"/>
      <c r="E48"/>
      <c r="F48"/>
      <c r="G48"/>
      <c r="H48"/>
      <c r="I48"/>
      <c r="J48"/>
      <c r="L48" s="121"/>
      <c r="M48" s="121"/>
      <c r="N48" s="121"/>
      <c r="O48" s="121"/>
      <c r="P48" s="121"/>
      <c r="Q48" s="121"/>
      <c r="R48" s="121"/>
      <c r="S48" s="121"/>
      <c r="T48" s="121"/>
      <c r="U48" s="121"/>
      <c r="V48" s="121"/>
      <c r="W48" s="121"/>
      <c r="X48" s="121"/>
      <c r="Y48" s="121"/>
    </row>
    <row r="49" spans="1:25" x14ac:dyDescent="0.25">
      <c r="A49"/>
      <c r="B49"/>
      <c r="C49"/>
      <c r="D49"/>
      <c r="E49"/>
      <c r="F49"/>
      <c r="G49"/>
      <c r="H49"/>
      <c r="I49"/>
      <c r="J49"/>
      <c r="L49" s="8"/>
      <c r="M49" s="21"/>
      <c r="N49" s="8"/>
      <c r="O49" s="21"/>
      <c r="P49" s="8"/>
      <c r="Q49" s="8"/>
      <c r="R49" s="8"/>
      <c r="S49" s="26"/>
      <c r="T49" s="8"/>
      <c r="U49" s="8"/>
      <c r="V49" s="8"/>
      <c r="W49" s="8"/>
      <c r="X49" s="8"/>
      <c r="Y49" s="8"/>
    </row>
    <row r="50" spans="1:25" x14ac:dyDescent="0.25">
      <c r="A50" s="98"/>
      <c r="B50" s="82"/>
      <c r="C50" s="98"/>
      <c r="D50" s="98"/>
      <c r="E50" s="98"/>
      <c r="F50" s="98"/>
      <c r="G50" s="98"/>
      <c r="H50" s="42"/>
      <c r="I50" s="98"/>
      <c r="J50" s="98"/>
      <c r="K50" s="26"/>
      <c r="L50" s="8"/>
      <c r="M50" s="21"/>
      <c r="N50" s="8"/>
      <c r="O50" s="21"/>
      <c r="P50" s="8"/>
      <c r="Q50" s="27"/>
      <c r="R50" s="8"/>
      <c r="S50" s="27"/>
      <c r="T50" s="8"/>
      <c r="U50" s="8"/>
      <c r="V50" s="8"/>
      <c r="W50" s="8"/>
      <c r="X50" s="8"/>
      <c r="Y50" s="8"/>
    </row>
    <row r="51" spans="1:25" x14ac:dyDescent="0.25">
      <c r="A51" s="98"/>
      <c r="B51" s="82"/>
      <c r="C51" s="98"/>
      <c r="D51" s="98"/>
      <c r="E51" s="98"/>
      <c r="F51" s="98"/>
      <c r="G51" s="98"/>
      <c r="H51" s="42"/>
      <c r="I51" s="98"/>
      <c r="J51" s="98"/>
      <c r="K51" s="26"/>
      <c r="L51" s="8"/>
      <c r="M51" s="23"/>
      <c r="N51" s="24"/>
      <c r="O51" s="25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 spans="1:25" x14ac:dyDescent="0.25">
      <c r="A52" s="98"/>
      <c r="B52" s="82"/>
      <c r="C52" s="98"/>
      <c r="D52" s="98"/>
      <c r="E52" s="98"/>
      <c r="F52" s="98"/>
      <c r="G52" s="98"/>
      <c r="H52" s="42"/>
      <c r="I52" s="98"/>
      <c r="J52" s="98"/>
      <c r="K52" s="26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 spans="1:25" x14ac:dyDescent="0.25">
      <c r="A53" s="98"/>
      <c r="B53" s="82"/>
      <c r="C53" s="98"/>
      <c r="D53" s="98"/>
      <c r="E53" s="98"/>
      <c r="F53" s="98"/>
      <c r="G53" s="98"/>
      <c r="H53" s="42"/>
      <c r="I53" s="98"/>
      <c r="J53" s="98"/>
      <c r="K53" s="26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 spans="1:25" x14ac:dyDescent="0.25">
      <c r="A54" s="98"/>
      <c r="B54" s="82"/>
      <c r="C54" s="98"/>
      <c r="D54" s="98"/>
      <c r="E54" s="98"/>
      <c r="F54" s="98"/>
      <c r="G54" s="98"/>
      <c r="H54" s="42"/>
      <c r="I54" s="98"/>
      <c r="J54" s="98"/>
      <c r="K54" s="26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 spans="1:25" x14ac:dyDescent="0.25">
      <c r="A55" s="98"/>
      <c r="B55" s="82"/>
      <c r="C55" s="98"/>
      <c r="D55" s="98"/>
      <c r="E55" s="98"/>
      <c r="F55" s="98"/>
      <c r="G55" s="98"/>
      <c r="H55" s="42"/>
      <c r="I55" s="98"/>
      <c r="J55" s="98"/>
      <c r="K55" s="26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 spans="1:25" x14ac:dyDescent="0.25">
      <c r="A56" s="98"/>
      <c r="B56" s="82"/>
      <c r="C56" s="98"/>
      <c r="D56" s="98"/>
      <c r="E56" s="98"/>
      <c r="F56" s="98"/>
      <c r="G56" s="98"/>
      <c r="H56" s="42"/>
      <c r="I56" s="98"/>
      <c r="J56" s="98"/>
      <c r="K56" s="26"/>
      <c r="L56" s="28"/>
      <c r="M56" s="15"/>
      <c r="N56" s="15"/>
      <c r="O56" s="15"/>
      <c r="P56" s="8"/>
      <c r="Q56" s="29"/>
      <c r="R56" s="29"/>
      <c r="S56" s="8"/>
      <c r="T56" s="8"/>
      <c r="U56" s="8"/>
      <c r="V56" s="8"/>
      <c r="W56" s="8"/>
      <c r="X56" s="8"/>
      <c r="Y56" s="8"/>
    </row>
    <row r="57" spans="1:25" x14ac:dyDescent="0.25">
      <c r="A57" s="98"/>
      <c r="B57" s="82"/>
      <c r="C57" s="98"/>
      <c r="D57" s="98"/>
      <c r="E57" s="98"/>
      <c r="F57" s="98"/>
      <c r="G57" s="98"/>
      <c r="H57" s="42"/>
      <c r="I57" s="98"/>
      <c r="J57" s="98"/>
      <c r="K57" s="26"/>
      <c r="L57" s="28"/>
      <c r="M57" s="30"/>
      <c r="N57" s="26"/>
      <c r="O57" s="8"/>
      <c r="P57" s="8"/>
      <c r="Q57" s="30"/>
      <c r="R57" s="26"/>
      <c r="S57" s="8"/>
      <c r="T57" s="8"/>
      <c r="U57" s="8"/>
      <c r="V57" s="8"/>
      <c r="W57" s="8"/>
      <c r="X57" s="8"/>
      <c r="Y57" s="8"/>
    </row>
    <row r="58" spans="1:25" x14ac:dyDescent="0.25">
      <c r="A58" s="98"/>
      <c r="B58" s="82"/>
      <c r="C58" s="98"/>
      <c r="D58" s="98"/>
      <c r="E58" s="98"/>
      <c r="F58" s="98"/>
      <c r="G58" s="98"/>
      <c r="H58" s="42"/>
      <c r="I58" s="98"/>
      <c r="J58" s="98"/>
      <c r="K58" s="26"/>
      <c r="L58" s="2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 spans="1:25" x14ac:dyDescent="0.25">
      <c r="A59" s="98"/>
      <c r="B59" s="82"/>
      <c r="C59" s="98"/>
      <c r="D59" s="98"/>
      <c r="E59" s="98"/>
      <c r="F59" s="98"/>
      <c r="G59" s="98"/>
      <c r="H59" s="42"/>
      <c r="I59" s="98"/>
      <c r="J59" s="98"/>
      <c r="K59" s="26"/>
      <c r="L59" s="28"/>
      <c r="M59" s="31"/>
      <c r="N59" s="31"/>
      <c r="O59" s="8"/>
      <c r="P59" s="8"/>
      <c r="Q59" s="31"/>
      <c r="R59" s="31"/>
      <c r="S59" s="8"/>
      <c r="T59" s="8"/>
      <c r="U59" s="8"/>
      <c r="V59" s="8"/>
      <c r="W59" s="8"/>
      <c r="X59" s="8"/>
      <c r="Y59" s="8"/>
    </row>
    <row r="60" spans="1:25" x14ac:dyDescent="0.25">
      <c r="A60" s="98"/>
      <c r="B60" s="82"/>
      <c r="C60" s="98"/>
      <c r="D60" s="98"/>
      <c r="E60" s="98"/>
      <c r="F60" s="98"/>
      <c r="G60" s="98"/>
      <c r="H60" s="42"/>
      <c r="I60" s="98"/>
      <c r="J60" s="98"/>
      <c r="K60" s="26"/>
      <c r="L60" s="28"/>
      <c r="M60" s="32"/>
      <c r="N60" s="8"/>
      <c r="O60" s="8"/>
      <c r="P60" s="8"/>
      <c r="Q60" s="32"/>
      <c r="R60" s="8"/>
      <c r="S60" s="8"/>
      <c r="T60" s="8"/>
      <c r="U60" s="8"/>
      <c r="V60" s="8"/>
      <c r="W60" s="8"/>
      <c r="X60" s="8"/>
      <c r="Y60" s="8"/>
    </row>
    <row r="61" spans="1:25" x14ac:dyDescent="0.25">
      <c r="A61" s="98"/>
      <c r="B61" s="82"/>
      <c r="C61" s="98"/>
      <c r="D61" s="98"/>
      <c r="E61" s="98"/>
      <c r="F61" s="98"/>
      <c r="G61" s="98"/>
      <c r="H61" s="42"/>
      <c r="I61" s="98"/>
      <c r="J61" s="98"/>
      <c r="K61" s="26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 spans="1:25" x14ac:dyDescent="0.25">
      <c r="A62" s="98"/>
      <c r="B62" s="82"/>
      <c r="C62" s="98"/>
      <c r="D62" s="98"/>
      <c r="E62" s="98"/>
      <c r="F62" s="98"/>
      <c r="G62" s="98"/>
      <c r="H62" s="42"/>
      <c r="I62" s="98"/>
      <c r="J62" s="98"/>
      <c r="K62" s="26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 spans="1:25" x14ac:dyDescent="0.25">
      <c r="A63" s="98"/>
      <c r="B63" s="82"/>
      <c r="C63" s="98"/>
      <c r="D63" s="98"/>
      <c r="E63" s="98"/>
      <c r="F63" s="98"/>
      <c r="G63" s="98"/>
      <c r="H63" s="42"/>
      <c r="I63" s="98"/>
      <c r="J63" s="98"/>
      <c r="K63" s="26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 spans="1:25" x14ac:dyDescent="0.25">
      <c r="A64" s="98"/>
      <c r="B64" s="82"/>
      <c r="C64" s="98"/>
      <c r="D64" s="98"/>
      <c r="E64" s="98"/>
      <c r="F64" s="98"/>
      <c r="G64" s="98"/>
      <c r="H64" s="42"/>
      <c r="I64" s="98"/>
      <c r="J64" s="98"/>
      <c r="K64" s="26"/>
      <c r="L64" s="28"/>
      <c r="M64" s="33"/>
      <c r="N64" s="26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 spans="1:25" x14ac:dyDescent="0.25">
      <c r="A65" s="98"/>
      <c r="B65" s="82"/>
      <c r="C65" s="98"/>
      <c r="D65" s="98"/>
      <c r="E65" s="98"/>
      <c r="F65" s="98"/>
      <c r="G65" s="98"/>
      <c r="H65" s="42"/>
      <c r="I65" s="98"/>
      <c r="J65" s="98"/>
      <c r="K65" s="26"/>
      <c r="L65" s="2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 spans="1:25" x14ac:dyDescent="0.25">
      <c r="A66" s="98"/>
      <c r="B66" s="82"/>
      <c r="C66" s="98"/>
      <c r="D66" s="98"/>
      <c r="E66" s="98"/>
      <c r="F66" s="98"/>
      <c r="G66" s="98"/>
      <c r="H66" s="42"/>
      <c r="I66" s="98"/>
      <c r="J66" s="98"/>
      <c r="K66" s="26"/>
      <c r="L66" s="28"/>
      <c r="M66" s="31"/>
      <c r="N66" s="31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 spans="1:25" x14ac:dyDescent="0.25">
      <c r="A67" s="98"/>
      <c r="B67" s="82"/>
      <c r="C67" s="98"/>
      <c r="D67" s="98"/>
      <c r="E67" s="98"/>
      <c r="F67" s="98"/>
      <c r="G67" s="98"/>
      <c r="H67" s="42"/>
      <c r="I67" s="98"/>
      <c r="J67" s="98"/>
      <c r="K67" s="26"/>
      <c r="L67" s="28"/>
      <c r="M67" s="32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 spans="1:25" x14ac:dyDescent="0.25">
      <c r="A68" s="98"/>
      <c r="B68" s="82"/>
      <c r="C68" s="98"/>
      <c r="D68" s="98"/>
      <c r="E68" s="98"/>
      <c r="F68" s="98"/>
      <c r="G68" s="98"/>
      <c r="H68" s="42"/>
      <c r="I68" s="98"/>
      <c r="J68" s="98"/>
      <c r="K68" s="26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 spans="1:25" x14ac:dyDescent="0.25">
      <c r="A69" s="98"/>
      <c r="B69" s="82"/>
      <c r="C69" s="98"/>
      <c r="D69" s="98"/>
      <c r="E69" s="98"/>
      <c r="F69" s="98"/>
      <c r="G69" s="98"/>
      <c r="H69" s="42"/>
      <c r="I69" s="98"/>
      <c r="J69" s="98"/>
      <c r="K69" s="26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 spans="1:25" x14ac:dyDescent="0.25">
      <c r="A70" s="98"/>
      <c r="B70" s="82"/>
      <c r="C70" s="98"/>
      <c r="D70" s="98"/>
      <c r="E70" s="98"/>
      <c r="F70" s="98"/>
      <c r="G70" s="98"/>
      <c r="H70" s="42"/>
      <c r="I70" s="98"/>
      <c r="J70" s="98"/>
      <c r="K70" s="26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 spans="1:25" x14ac:dyDescent="0.25">
      <c r="A71" s="98"/>
      <c r="B71" s="82"/>
      <c r="C71" s="98"/>
      <c r="D71" s="98"/>
      <c r="E71" s="98"/>
      <c r="F71" s="98"/>
      <c r="G71" s="98"/>
      <c r="H71" s="42"/>
      <c r="I71" s="98"/>
      <c r="J71" s="98"/>
      <c r="K71" s="26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 spans="1:25" x14ac:dyDescent="0.25">
      <c r="A72" s="98"/>
      <c r="B72" s="82"/>
      <c r="C72" s="98"/>
      <c r="D72" s="98"/>
      <c r="E72" s="98"/>
      <c r="F72" s="98"/>
      <c r="G72" s="98"/>
      <c r="H72" s="42"/>
      <c r="I72" s="98"/>
      <c r="J72" s="98"/>
      <c r="K72" s="26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 spans="1:25" x14ac:dyDescent="0.25">
      <c r="A73" s="98"/>
      <c r="B73" s="82"/>
      <c r="C73" s="98"/>
      <c r="D73" s="98"/>
      <c r="E73" s="98"/>
      <c r="F73" s="98"/>
      <c r="G73" s="98"/>
      <c r="H73" s="42"/>
      <c r="I73" s="98"/>
      <c r="J73" s="98"/>
      <c r="K73" s="26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 spans="1:25" x14ac:dyDescent="0.25">
      <c r="A74" s="98"/>
      <c r="B74" s="82"/>
      <c r="C74" s="98"/>
      <c r="D74" s="98"/>
      <c r="E74" s="98"/>
      <c r="F74" s="98"/>
      <c r="G74" s="98"/>
      <c r="H74" s="42"/>
      <c r="I74" s="98"/>
      <c r="J74" s="98"/>
      <c r="K74" s="26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 spans="1:25" x14ac:dyDescent="0.25">
      <c r="A75" s="98"/>
      <c r="B75" s="82"/>
      <c r="C75" s="98"/>
      <c r="D75" s="98"/>
      <c r="E75" s="98"/>
      <c r="F75" s="98"/>
      <c r="G75" s="98"/>
      <c r="H75" s="42"/>
      <c r="I75" s="98"/>
      <c r="J75" s="98"/>
      <c r="K75" s="26"/>
      <c r="L75" s="15"/>
      <c r="M75" s="15"/>
      <c r="N75" s="15"/>
      <c r="O75" s="15"/>
      <c r="P75" s="15"/>
      <c r="Q75" s="15"/>
      <c r="R75" s="15"/>
      <c r="S75" s="8"/>
      <c r="T75" s="8"/>
      <c r="U75" s="8"/>
      <c r="V75" s="8"/>
      <c r="W75" s="8"/>
      <c r="X75" s="8"/>
      <c r="Y75" s="8"/>
    </row>
    <row r="76" spans="1:25" x14ac:dyDescent="0.25">
      <c r="A76" s="98"/>
      <c r="B76" s="82"/>
      <c r="C76" s="98"/>
      <c r="D76" s="98"/>
      <c r="E76" s="98"/>
      <c r="F76" s="98"/>
      <c r="G76" s="98"/>
      <c r="H76" s="42"/>
      <c r="I76" s="98"/>
      <c r="J76" s="98"/>
      <c r="K76" s="26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 spans="1:25" x14ac:dyDescent="0.25">
      <c r="A77" s="98"/>
      <c r="B77" s="82"/>
      <c r="C77" s="98"/>
      <c r="D77" s="98"/>
      <c r="E77" s="98"/>
      <c r="F77" s="98"/>
      <c r="G77" s="98"/>
      <c r="H77" s="42"/>
      <c r="I77" s="98"/>
      <c r="J77" s="98"/>
      <c r="K77" s="26"/>
      <c r="L77" s="15"/>
      <c r="M77" s="15"/>
      <c r="N77" s="15"/>
      <c r="O77" s="15"/>
      <c r="P77" s="15"/>
      <c r="Q77" s="15"/>
      <c r="R77" s="15"/>
      <c r="S77" s="8"/>
      <c r="T77" s="8"/>
      <c r="U77" s="8"/>
      <c r="V77" s="8"/>
      <c r="W77" s="8"/>
      <c r="X77" s="8"/>
      <c r="Y77" s="8"/>
    </row>
    <row r="78" spans="1:25" x14ac:dyDescent="0.25">
      <c r="A78" s="98"/>
      <c r="B78" s="82"/>
      <c r="C78" s="98"/>
      <c r="D78" s="98"/>
      <c r="E78" s="98"/>
      <c r="F78" s="98"/>
      <c r="G78" s="98"/>
      <c r="H78" s="42"/>
      <c r="I78" s="98"/>
      <c r="J78" s="98"/>
      <c r="K78" s="26"/>
      <c r="L78" s="8"/>
      <c r="M78" s="32"/>
      <c r="N78" s="21"/>
      <c r="O78" s="8"/>
      <c r="P78" s="8"/>
      <c r="Q78" s="34"/>
      <c r="R78" s="34"/>
      <c r="S78" s="8"/>
      <c r="T78" s="8"/>
      <c r="U78" s="8"/>
      <c r="V78" s="8"/>
      <c r="W78" s="8"/>
      <c r="X78" s="8"/>
      <c r="Y78" s="8"/>
    </row>
    <row r="79" spans="1:25" x14ac:dyDescent="0.25">
      <c r="A79" s="98"/>
      <c r="B79" s="82"/>
      <c r="C79" s="98"/>
      <c r="D79" s="98"/>
      <c r="E79" s="98"/>
      <c r="F79" s="98"/>
      <c r="G79" s="98"/>
      <c r="H79" s="42"/>
      <c r="I79" s="98"/>
      <c r="J79" s="98"/>
      <c r="K79" s="26"/>
      <c r="L79" s="8"/>
      <c r="M79" s="21"/>
      <c r="N79" s="8"/>
      <c r="O79" s="8"/>
      <c r="P79" s="8"/>
      <c r="Q79" s="35"/>
      <c r="R79" s="26"/>
      <c r="S79" s="8"/>
      <c r="T79" s="8"/>
      <c r="U79" s="8"/>
      <c r="V79" s="8"/>
      <c r="W79" s="8"/>
      <c r="X79" s="8"/>
      <c r="Y79" s="8"/>
    </row>
    <row r="80" spans="1:25" x14ac:dyDescent="0.25">
      <c r="A80" s="98"/>
      <c r="B80" s="82"/>
      <c r="C80" s="98"/>
      <c r="D80" s="98"/>
      <c r="E80" s="98"/>
      <c r="F80" s="98"/>
      <c r="G80" s="98"/>
      <c r="H80" s="42"/>
      <c r="I80" s="98"/>
      <c r="J80" s="98"/>
      <c r="K80" s="26"/>
      <c r="L80" s="8"/>
      <c r="M80" s="21"/>
      <c r="N80" s="8"/>
      <c r="O80" s="21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 spans="1:25" x14ac:dyDescent="0.25">
      <c r="A81" s="98"/>
      <c r="B81" s="82"/>
      <c r="C81" s="98"/>
      <c r="D81" s="98"/>
      <c r="E81" s="98"/>
      <c r="F81" s="98"/>
      <c r="G81" s="98"/>
      <c r="H81" s="42"/>
      <c r="I81" s="98"/>
      <c r="J81" s="98"/>
      <c r="K81" s="26"/>
      <c r="L81" s="8"/>
      <c r="M81" s="21"/>
      <c r="N81" s="8"/>
      <c r="O81" s="21"/>
      <c r="P81" s="8"/>
      <c r="Q81" s="26"/>
      <c r="R81" s="26"/>
      <c r="S81" s="8"/>
      <c r="T81" s="8"/>
      <c r="U81" s="8"/>
      <c r="V81" s="8"/>
      <c r="W81" s="8"/>
      <c r="X81" s="8"/>
      <c r="Y81" s="8"/>
    </row>
    <row r="82" spans="1:25" x14ac:dyDescent="0.25">
      <c r="A82" s="98"/>
      <c r="B82" s="82"/>
      <c r="C82" s="98"/>
      <c r="D82" s="98"/>
      <c r="E82" s="98"/>
      <c r="F82" s="98"/>
      <c r="G82" s="98"/>
      <c r="H82" s="42"/>
      <c r="I82" s="98"/>
      <c r="J82" s="98"/>
      <c r="K82" s="26"/>
      <c r="L82" s="8"/>
      <c r="M82" s="21"/>
      <c r="N82" s="8"/>
      <c r="O82" s="21"/>
      <c r="P82" s="8"/>
      <c r="Q82" s="27"/>
      <c r="R82" s="8"/>
      <c r="S82" s="8"/>
      <c r="T82" s="8"/>
      <c r="U82" s="8"/>
      <c r="V82" s="8"/>
      <c r="W82" s="8"/>
      <c r="X82" s="8"/>
      <c r="Y82" s="8"/>
    </row>
    <row r="83" spans="1:25" x14ac:dyDescent="0.25">
      <c r="A83" s="98"/>
      <c r="B83" s="82"/>
      <c r="C83" s="98"/>
      <c r="D83" s="98"/>
      <c r="E83" s="98"/>
      <c r="F83" s="98"/>
      <c r="G83" s="98"/>
      <c r="H83" s="42"/>
      <c r="I83" s="98"/>
      <c r="J83" s="98"/>
      <c r="K83" s="26"/>
      <c r="L83" s="8"/>
      <c r="M83" s="23"/>
      <c r="N83" s="24"/>
      <c r="O83" s="36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 spans="1:25" x14ac:dyDescent="0.25">
      <c r="A84" s="98"/>
      <c r="B84" s="82"/>
      <c r="C84" s="98"/>
      <c r="D84" s="98"/>
      <c r="E84" s="98"/>
      <c r="F84" s="98"/>
      <c r="G84" s="98"/>
      <c r="H84" s="42"/>
      <c r="I84" s="98"/>
      <c r="J84" s="98"/>
      <c r="K84" s="26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 spans="1:25" x14ac:dyDescent="0.25">
      <c r="A85" s="98"/>
      <c r="B85" s="82"/>
      <c r="C85" s="98"/>
      <c r="D85" s="98"/>
      <c r="E85" s="98"/>
      <c r="F85" s="98"/>
      <c r="G85" s="98"/>
      <c r="H85" s="42"/>
      <c r="I85" s="98"/>
      <c r="J85" s="98"/>
      <c r="K85" s="26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 spans="1:25" x14ac:dyDescent="0.25">
      <c r="A86" s="98"/>
      <c r="B86" s="82"/>
      <c r="C86" s="98"/>
      <c r="D86" s="98"/>
      <c r="E86" s="98"/>
      <c r="F86" s="98"/>
      <c r="G86" s="98"/>
      <c r="H86" s="42"/>
      <c r="I86" s="98"/>
      <c r="J86" s="98"/>
      <c r="K86" s="26"/>
      <c r="L86" s="15"/>
      <c r="M86" s="15"/>
      <c r="N86" s="15"/>
      <c r="O86" s="15"/>
      <c r="P86" s="15"/>
      <c r="Q86" s="15"/>
      <c r="R86" s="15"/>
      <c r="S86" s="8"/>
      <c r="T86" s="8"/>
      <c r="U86" s="8"/>
      <c r="V86" s="8"/>
      <c r="W86" s="8"/>
      <c r="X86" s="8"/>
      <c r="Y86" s="8"/>
    </row>
    <row r="87" spans="1:25" x14ac:dyDescent="0.25">
      <c r="A87" s="98"/>
      <c r="B87" s="82"/>
      <c r="C87" s="98"/>
      <c r="D87" s="98"/>
      <c r="E87" s="98"/>
      <c r="F87" s="98"/>
      <c r="G87" s="98"/>
      <c r="H87" s="42"/>
      <c r="I87" s="98"/>
      <c r="J87" s="98"/>
      <c r="K87" s="26"/>
      <c r="L87" s="8"/>
      <c r="M87" s="32"/>
      <c r="N87" s="21"/>
      <c r="O87" s="8"/>
      <c r="P87" s="8"/>
      <c r="Q87" s="34"/>
      <c r="R87" s="34"/>
      <c r="S87" s="8"/>
      <c r="T87" s="8"/>
      <c r="U87" s="8"/>
      <c r="V87" s="8"/>
      <c r="W87" s="8"/>
      <c r="X87" s="8"/>
      <c r="Y87" s="8"/>
    </row>
    <row r="88" spans="1:25" x14ac:dyDescent="0.25">
      <c r="A88" s="98"/>
      <c r="B88" s="82"/>
      <c r="C88" s="98"/>
      <c r="D88" s="98"/>
      <c r="E88" s="98"/>
      <c r="F88" s="98"/>
      <c r="G88" s="98"/>
      <c r="H88" s="42"/>
      <c r="I88" s="98"/>
      <c r="J88" s="98"/>
      <c r="K88" s="26"/>
      <c r="L88" s="8"/>
      <c r="M88" s="21"/>
      <c r="N88" s="8"/>
      <c r="O88" s="8"/>
      <c r="P88" s="8"/>
      <c r="Q88" s="35"/>
      <c r="R88" s="26"/>
      <c r="S88" s="8"/>
      <c r="T88" s="8"/>
      <c r="U88" s="8"/>
      <c r="V88" s="8"/>
      <c r="W88" s="8"/>
      <c r="X88" s="8"/>
      <c r="Y88" s="8"/>
    </row>
    <row r="89" spans="1:25" x14ac:dyDescent="0.25">
      <c r="A89" s="98"/>
      <c r="B89" s="82"/>
      <c r="C89" s="98"/>
      <c r="D89" s="98"/>
      <c r="E89" s="98"/>
      <c r="F89" s="98"/>
      <c r="G89" s="98"/>
      <c r="H89" s="42"/>
      <c r="I89" s="98"/>
      <c r="J89" s="98"/>
      <c r="K89" s="26"/>
      <c r="L89" s="8"/>
      <c r="M89" s="21"/>
      <c r="N89" s="8"/>
      <c r="O89" s="21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 spans="1:25" x14ac:dyDescent="0.25">
      <c r="A90" s="98"/>
      <c r="B90" s="82"/>
      <c r="C90" s="98"/>
      <c r="D90" s="98"/>
      <c r="E90" s="98"/>
      <c r="F90" s="98"/>
      <c r="G90" s="98"/>
      <c r="H90" s="42"/>
      <c r="I90" s="98"/>
      <c r="J90" s="98"/>
      <c r="K90" s="26"/>
      <c r="L90" s="8"/>
      <c r="M90" s="21"/>
      <c r="N90" s="8"/>
      <c r="O90" s="21"/>
      <c r="P90" s="8"/>
      <c r="Q90" s="31"/>
      <c r="R90" s="31"/>
      <c r="S90" s="8"/>
      <c r="T90" s="8"/>
      <c r="U90" s="8"/>
      <c r="V90" s="8"/>
      <c r="W90" s="8"/>
      <c r="X90" s="8"/>
      <c r="Y90" s="8"/>
    </row>
    <row r="91" spans="1:25" x14ac:dyDescent="0.25">
      <c r="A91" s="98"/>
      <c r="B91" s="82"/>
      <c r="C91" s="98"/>
      <c r="D91" s="98"/>
      <c r="E91" s="98"/>
      <c r="F91" s="98"/>
      <c r="G91" s="98"/>
      <c r="H91" s="42"/>
      <c r="I91" s="98"/>
      <c r="J91" s="98"/>
      <c r="K91" s="26"/>
      <c r="L91" s="8"/>
      <c r="M91" s="21"/>
      <c r="N91" s="8"/>
      <c r="O91" s="21"/>
      <c r="P91" s="8"/>
      <c r="Q91" s="27"/>
      <c r="R91" s="8"/>
      <c r="S91" s="8"/>
      <c r="T91" s="8"/>
      <c r="U91" s="8"/>
      <c r="V91" s="8"/>
      <c r="W91" s="8"/>
      <c r="X91" s="8"/>
      <c r="Y91" s="8"/>
    </row>
    <row r="92" spans="1:25" x14ac:dyDescent="0.25">
      <c r="A92" s="98"/>
      <c r="B92" s="82"/>
      <c r="C92" s="98"/>
      <c r="D92" s="98"/>
      <c r="E92" s="98"/>
      <c r="F92" s="98"/>
      <c r="G92" s="98"/>
      <c r="H92" s="42"/>
      <c r="I92" s="98"/>
      <c r="J92" s="98"/>
      <c r="K92" s="26"/>
      <c r="L92" s="8"/>
      <c r="M92" s="23"/>
      <c r="N92" s="24"/>
      <c r="O92" s="36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 spans="1:25" x14ac:dyDescent="0.25">
      <c r="A93" s="98"/>
      <c r="B93" s="82"/>
      <c r="C93" s="98"/>
      <c r="D93" s="98"/>
      <c r="E93" s="98"/>
      <c r="F93" s="98"/>
      <c r="G93" s="98"/>
      <c r="H93" s="42"/>
      <c r="I93" s="98"/>
      <c r="J93" s="98"/>
      <c r="K93" s="26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 spans="1:25" x14ac:dyDescent="0.25">
      <c r="A94"/>
      <c r="B94"/>
      <c r="C94"/>
      <c r="D94"/>
      <c r="E94"/>
      <c r="F94"/>
      <c r="G94"/>
      <c r="H94"/>
      <c r="I94"/>
      <c r="J94"/>
    </row>
  </sheetData>
  <sheetProtection algorithmName="SHA-512" hashValue="lgcKV1O7ktWYGYUIkd0F6Yo4Yop3zdjAzZ8BEagHBA1nACaOZr/wKWL5tP5ptzJV1kRB6azl82ooehkT9cXR0A==" saltValue="iygWBcH05epje0hmhU6yLw==" spinCount="100000" sheet="1" objects="1" scenarios="1"/>
  <mergeCells count="27">
    <mergeCell ref="A14:B14"/>
    <mergeCell ref="A10:B10"/>
    <mergeCell ref="A11:B11"/>
    <mergeCell ref="L1:O1"/>
    <mergeCell ref="C20:D20"/>
    <mergeCell ref="D13:I13"/>
    <mergeCell ref="D9:F9"/>
    <mergeCell ref="D10:F10"/>
    <mergeCell ref="L2:O2"/>
    <mergeCell ref="H8:I8"/>
    <mergeCell ref="D8:G8"/>
    <mergeCell ref="A12:B12"/>
    <mergeCell ref="A13:B13"/>
    <mergeCell ref="G1:I1"/>
    <mergeCell ref="A1:B1"/>
    <mergeCell ref="C1:F1"/>
    <mergeCell ref="C21:D21"/>
    <mergeCell ref="C16:D16"/>
    <mergeCell ref="C17:D17"/>
    <mergeCell ref="C18:D18"/>
    <mergeCell ref="C19:D19"/>
    <mergeCell ref="D12:G12"/>
    <mergeCell ref="A8:C8"/>
    <mergeCell ref="A6:C6"/>
    <mergeCell ref="D6:I6"/>
    <mergeCell ref="A7:I7"/>
    <mergeCell ref="A9:B9"/>
  </mergeCells>
  <phoneticPr fontId="3" type="noConversion"/>
  <pageMargins left="0.6" right="0.25" top="0.91" bottom="1" header="0.06" footer="0"/>
  <pageSetup paperSize="9" orientation="portrait" verticalDpi="300" r:id="rId1"/>
  <headerFooter alignWithMargins="0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Hoja2">
    <tabColor theme="8" tint="0.59999389629810485"/>
  </sheetPr>
  <dimension ref="A1:AL125"/>
  <sheetViews>
    <sheetView workbookViewId="0">
      <selection activeCell="L4" sqref="L4"/>
    </sheetView>
  </sheetViews>
  <sheetFormatPr baseColWidth="10" defaultColWidth="11.44140625" defaultRowHeight="13.2" x14ac:dyDescent="0.25"/>
  <cols>
    <col min="1" max="1" width="9.5546875" style="10" customWidth="1"/>
    <col min="2" max="2" width="8.88671875" style="10" customWidth="1"/>
    <col min="3" max="3" width="8.33203125" style="10" customWidth="1"/>
    <col min="4" max="4" width="8.88671875" style="10" customWidth="1"/>
    <col min="5" max="5" width="8.5546875" style="10" customWidth="1"/>
    <col min="6" max="6" width="10" style="10" customWidth="1"/>
    <col min="7" max="7" width="8.6640625" style="10" customWidth="1"/>
    <col min="8" max="8" width="8.88671875" style="10" customWidth="1"/>
    <col min="9" max="9" width="9.5546875" style="10" customWidth="1"/>
    <col min="10" max="10" width="10.5546875" style="10" customWidth="1"/>
    <col min="11" max="11" width="12.5546875" style="10" customWidth="1"/>
    <col min="12" max="12" width="8.6640625" style="10" customWidth="1"/>
    <col min="13" max="13" width="12.109375" style="10" customWidth="1"/>
    <col min="14" max="14" width="8.6640625" style="10" customWidth="1"/>
    <col min="15" max="15" width="6.5546875" style="10" customWidth="1"/>
    <col min="16" max="16" width="7.6640625" style="10" customWidth="1"/>
    <col min="17" max="18" width="8.33203125" style="10" customWidth="1"/>
    <col min="19" max="19" width="7" style="10" customWidth="1"/>
    <col min="20" max="20" width="7.44140625" style="10" customWidth="1"/>
    <col min="21" max="23" width="5.88671875" style="10" customWidth="1"/>
    <col min="24" max="24" width="3.88671875" style="10" customWidth="1"/>
    <col min="25" max="25" width="4.6640625" style="10" customWidth="1"/>
    <col min="26" max="26" width="8.109375" style="10" customWidth="1"/>
    <col min="27" max="27" width="8" style="10" customWidth="1"/>
    <col min="28" max="28" width="7.88671875" style="10" customWidth="1"/>
    <col min="29" max="29" width="6.33203125" style="10" customWidth="1"/>
    <col min="30" max="30" width="7.88671875" style="10" customWidth="1"/>
    <col min="31" max="31" width="0.88671875" style="10" customWidth="1"/>
    <col min="32" max="32" width="6.33203125" style="10" customWidth="1"/>
    <col min="33" max="33" width="7" style="10" customWidth="1"/>
    <col min="34" max="34" width="6.6640625" style="10" customWidth="1"/>
    <col min="35" max="35" width="6.44140625" style="10" customWidth="1"/>
    <col min="36" max="36" width="6.5546875" style="10" customWidth="1"/>
    <col min="37" max="37" width="7.5546875" style="10" customWidth="1"/>
    <col min="38" max="38" width="7.6640625" style="10" customWidth="1"/>
    <col min="39" max="16384" width="11.44140625" style="10"/>
  </cols>
  <sheetData>
    <row r="1" spans="1:38" ht="35.25" customHeight="1" thickTop="1" x14ac:dyDescent="0.4">
      <c r="A1" s="407" t="s">
        <v>55</v>
      </c>
      <c r="B1" s="407"/>
      <c r="C1" s="408" t="s">
        <v>56</v>
      </c>
      <c r="D1" s="409"/>
      <c r="E1" s="409"/>
      <c r="F1" s="410"/>
      <c r="G1" s="414" t="s">
        <v>0</v>
      </c>
      <c r="H1" s="414"/>
      <c r="I1" s="414"/>
      <c r="J1" s="131"/>
      <c r="K1" s="407" t="s">
        <v>102</v>
      </c>
      <c r="L1" s="407"/>
      <c r="M1" s="407"/>
      <c r="N1" s="407"/>
      <c r="Y1" s="132"/>
      <c r="AB1" s="133"/>
      <c r="AG1" s="134"/>
      <c r="AH1" s="134"/>
      <c r="AI1" s="134"/>
      <c r="AJ1" s="134"/>
      <c r="AK1" s="134"/>
      <c r="AL1" s="134"/>
    </row>
    <row r="2" spans="1:38" ht="20.25" customHeight="1" x14ac:dyDescent="0.25">
      <c r="A2" s="181" t="s">
        <v>1</v>
      </c>
      <c r="B2" s="4">
        <v>12.577999999999999</v>
      </c>
      <c r="C2" s="182" t="s">
        <v>84</v>
      </c>
      <c r="D2" s="183">
        <f>L19</f>
        <v>64826.939999999995</v>
      </c>
      <c r="E2" s="184" t="s">
        <v>111</v>
      </c>
      <c r="F2" s="185">
        <f>D2/1.025</f>
        <v>63245.795121951218</v>
      </c>
      <c r="G2" s="136" t="s">
        <v>2</v>
      </c>
      <c r="H2" s="137" t="e">
        <v>#NAME?</v>
      </c>
      <c r="I2" s="138" t="e">
        <f>H2/1.025</f>
        <v>#NAME?</v>
      </c>
      <c r="J2" s="139"/>
      <c r="K2" s="413" t="s">
        <v>3</v>
      </c>
      <c r="L2" s="413"/>
      <c r="M2" s="413"/>
      <c r="N2" s="413"/>
      <c r="P2" s="140"/>
      <c r="Q2" s="140"/>
      <c r="R2" s="140"/>
      <c r="S2" s="140"/>
      <c r="T2" s="140"/>
      <c r="U2" s="135"/>
      <c r="V2" s="141"/>
      <c r="Z2" s="142"/>
      <c r="AF2" s="143"/>
      <c r="AG2" s="143"/>
      <c r="AH2" s="143"/>
      <c r="AI2" s="143"/>
      <c r="AJ2" s="143"/>
      <c r="AK2" s="143"/>
      <c r="AL2" s="143"/>
    </row>
    <row r="3" spans="1:38" ht="16.5" customHeight="1" x14ac:dyDescent="0.25">
      <c r="C3" s="182" t="s">
        <v>112</v>
      </c>
      <c r="D3" s="186">
        <f>P19</f>
        <v>96.535399999999996</v>
      </c>
      <c r="E3" s="184" t="s">
        <v>5</v>
      </c>
      <c r="F3" s="187">
        <f>N19</f>
        <v>57.3</v>
      </c>
      <c r="G3" s="136" t="s">
        <v>4</v>
      </c>
      <c r="H3" s="144" t="e">
        <v>#NAME?</v>
      </c>
      <c r="I3" s="144" t="e">
        <v>#NAME?</v>
      </c>
      <c r="J3" s="145"/>
      <c r="K3" s="181" t="s">
        <v>51</v>
      </c>
      <c r="L3" s="5">
        <v>63392.800000000003</v>
      </c>
      <c r="M3" s="181" t="s">
        <v>58</v>
      </c>
      <c r="N3" s="6">
        <v>1.012</v>
      </c>
      <c r="R3" s="146"/>
      <c r="S3" s="147"/>
      <c r="Y3" s="148"/>
      <c r="Z3" s="149"/>
      <c r="AA3" s="150"/>
      <c r="AB3" s="151"/>
      <c r="AC3" s="151"/>
      <c r="AD3" s="151"/>
      <c r="AE3" s="151"/>
      <c r="AF3" s="152"/>
      <c r="AG3" s="152"/>
      <c r="AH3" s="152"/>
      <c r="AI3" s="152"/>
      <c r="AJ3" s="152"/>
      <c r="AK3" s="143"/>
      <c r="AL3" s="143"/>
    </row>
    <row r="4" spans="1:38" ht="18" customHeight="1" thickBot="1" x14ac:dyDescent="0.3">
      <c r="C4" s="188" t="s">
        <v>113</v>
      </c>
      <c r="D4" s="189">
        <f>R19</f>
        <v>88.9054</v>
      </c>
      <c r="E4" s="190" t="s">
        <v>12</v>
      </c>
      <c r="F4" s="191">
        <f>T19</f>
        <v>797.58199999999999</v>
      </c>
      <c r="G4" s="136" t="s">
        <v>11</v>
      </c>
      <c r="H4" s="144" t="e">
        <v>#NAME?</v>
      </c>
      <c r="I4" s="144" t="e">
        <v>#NAME?</v>
      </c>
      <c r="J4" s="145"/>
      <c r="K4" t="s">
        <v>14</v>
      </c>
      <c r="L4" s="195">
        <f>MATCH(L3,$B$15:$B$122,1)</f>
        <v>99</v>
      </c>
      <c r="M4" s="195"/>
      <c r="N4" s="195"/>
      <c r="O4"/>
      <c r="P4" s="195"/>
      <c r="Q4" s="195"/>
      <c r="R4" s="195"/>
      <c r="S4" s="195"/>
      <c r="T4" s="195"/>
      <c r="U4" s="195"/>
      <c r="V4"/>
      <c r="W4"/>
      <c r="X4"/>
      <c r="Y4" s="148"/>
      <c r="Z4" s="149"/>
      <c r="AA4" s="153"/>
      <c r="AB4" s="153"/>
      <c r="AC4" s="153"/>
      <c r="AD4" s="153"/>
      <c r="AE4" s="153"/>
      <c r="AF4" s="152"/>
      <c r="AG4" s="152"/>
      <c r="AH4" s="152"/>
      <c r="AI4" s="152"/>
      <c r="AJ4" s="152"/>
      <c r="AK4" s="133"/>
      <c r="AL4" s="133"/>
    </row>
    <row r="5" spans="1:38" ht="24" customHeight="1" thickTop="1" x14ac:dyDescent="0.3">
      <c r="A5" s="193" t="s">
        <v>16</v>
      </c>
      <c r="B5"/>
      <c r="C5"/>
      <c r="D5" s="192" t="s">
        <v>103</v>
      </c>
      <c r="E5"/>
      <c r="F5"/>
      <c r="G5" s="194"/>
      <c r="H5"/>
      <c r="I5"/>
      <c r="K5" t="s">
        <v>17</v>
      </c>
      <c r="L5" s="195">
        <f>INDEX($A$15:$G$122,L4+1,2)</f>
        <v>63808</v>
      </c>
      <c r="M5" s="195" t="s">
        <v>18</v>
      </c>
      <c r="N5" s="195">
        <f>INDEX($A$15:$G$122,L4+1,1)</f>
        <v>12.4</v>
      </c>
      <c r="O5"/>
      <c r="P5" s="195"/>
      <c r="Q5" s="195"/>
      <c r="R5" s="195"/>
      <c r="S5" s="195"/>
      <c r="T5" s="195"/>
      <c r="U5" s="195"/>
      <c r="V5"/>
      <c r="W5"/>
      <c r="X5"/>
      <c r="Y5" s="148"/>
      <c r="Z5" s="154"/>
      <c r="AA5" s="153"/>
      <c r="AB5" s="153"/>
      <c r="AC5" s="153"/>
      <c r="AD5" s="153"/>
      <c r="AE5" s="153"/>
      <c r="AF5" s="155"/>
      <c r="AG5" s="155"/>
      <c r="AH5" s="155"/>
      <c r="AI5" s="155"/>
      <c r="AJ5" s="155"/>
    </row>
    <row r="6" spans="1:38" x14ac:dyDescent="0.25">
      <c r="A6" s="195" t="s">
        <v>20</v>
      </c>
      <c r="B6" s="196">
        <v>183.25</v>
      </c>
      <c r="C6" s="197"/>
      <c r="D6" s="198" t="s">
        <v>7</v>
      </c>
      <c r="E6" s="199" t="s">
        <v>8</v>
      </c>
      <c r="F6" s="199" t="s">
        <v>9</v>
      </c>
      <c r="G6" s="199" t="s">
        <v>10</v>
      </c>
      <c r="H6" s="199"/>
      <c r="I6"/>
      <c r="K6" t="s">
        <v>21</v>
      </c>
      <c r="L6" s="195">
        <f>INDEX($A$15:$G$122,L4,2)</f>
        <v>63236</v>
      </c>
      <c r="M6" s="195" t="s">
        <v>22</v>
      </c>
      <c r="N6" s="195">
        <f>INDEX($A$15:$G$122,L4,1)</f>
        <v>12.3</v>
      </c>
      <c r="O6"/>
      <c r="P6" s="184" t="s">
        <v>5</v>
      </c>
      <c r="Q6" s="208">
        <f>N35</f>
        <v>57.127412587412593</v>
      </c>
      <c r="R6" s="195"/>
      <c r="S6" s="195"/>
      <c r="T6" s="195"/>
      <c r="U6" s="195"/>
      <c r="V6"/>
      <c r="W6"/>
      <c r="X6"/>
      <c r="Y6" s="148"/>
      <c r="Z6" s="156"/>
      <c r="AA6" s="153"/>
      <c r="AB6" s="153"/>
      <c r="AC6" s="153"/>
      <c r="AD6" s="153"/>
      <c r="AE6" s="153"/>
      <c r="AF6" s="133"/>
      <c r="AK6" s="142"/>
      <c r="AL6" s="142"/>
    </row>
    <row r="7" spans="1:38" x14ac:dyDescent="0.25">
      <c r="A7" s="195" t="s">
        <v>24</v>
      </c>
      <c r="B7" s="196">
        <v>32.26</v>
      </c>
      <c r="C7" s="197"/>
      <c r="D7" s="200" t="s">
        <v>15</v>
      </c>
      <c r="E7" s="200">
        <v>13.083</v>
      </c>
      <c r="F7" s="200">
        <v>66074</v>
      </c>
      <c r="G7" s="200">
        <v>55030</v>
      </c>
      <c r="H7" s="201"/>
      <c r="I7"/>
      <c r="K7" t="s">
        <v>25</v>
      </c>
      <c r="L7" s="195">
        <f>L5-L6</f>
        <v>572</v>
      </c>
      <c r="M7" s="195" t="s">
        <v>26</v>
      </c>
      <c r="N7" s="195">
        <f>N5-N6</f>
        <v>9.9999999999999645E-2</v>
      </c>
      <c r="O7"/>
      <c r="P7" s="184" t="s">
        <v>4</v>
      </c>
      <c r="Q7" s="186">
        <f>P35</f>
        <v>96.70355244755244</v>
      </c>
      <c r="R7" s="195"/>
      <c r="S7" s="195"/>
      <c r="T7" s="195"/>
      <c r="U7" s="195"/>
      <c r="V7"/>
      <c r="W7"/>
      <c r="X7"/>
      <c r="Y7" s="148"/>
      <c r="Z7" s="157"/>
      <c r="AA7" s="157"/>
      <c r="AB7" s="158"/>
      <c r="AC7" s="157"/>
      <c r="AD7" s="157"/>
      <c r="AE7" s="153"/>
      <c r="AF7" s="133"/>
      <c r="AK7" s="142"/>
      <c r="AL7" s="142"/>
    </row>
    <row r="8" spans="1:38" x14ac:dyDescent="0.25">
      <c r="A8" s="195" t="s">
        <v>28</v>
      </c>
      <c r="B8" s="202">
        <v>17.5</v>
      </c>
      <c r="C8" s="197"/>
      <c r="D8" s="200" t="s">
        <v>19</v>
      </c>
      <c r="E8" s="200">
        <v>12.821999999999999</v>
      </c>
      <c r="F8" s="200">
        <v>64947</v>
      </c>
      <c r="G8" s="200">
        <v>53903</v>
      </c>
      <c r="H8" s="201"/>
      <c r="I8"/>
      <c r="K8" t="s">
        <v>29</v>
      </c>
      <c r="L8" s="195">
        <f>L5-L3</f>
        <v>415.19999999999709</v>
      </c>
      <c r="M8" s="209" t="s">
        <v>59</v>
      </c>
      <c r="N8" s="210">
        <f>N5-((L8*N7)/L7)</f>
        <v>12.327412587412589</v>
      </c>
      <c r="O8"/>
      <c r="P8" s="184" t="s">
        <v>11</v>
      </c>
      <c r="Q8" s="186">
        <f>R35</f>
        <v>89.088069930069935</v>
      </c>
      <c r="R8" s="195"/>
      <c r="S8" s="209"/>
      <c r="T8" s="210"/>
      <c r="U8" s="195"/>
      <c r="V8"/>
      <c r="W8"/>
      <c r="X8"/>
      <c r="Z8" s="133"/>
      <c r="AA8" s="153"/>
      <c r="AB8" s="153"/>
      <c r="AC8" s="153"/>
      <c r="AD8" s="153"/>
      <c r="AE8" s="153"/>
      <c r="AF8" s="133"/>
      <c r="AK8" s="142"/>
      <c r="AL8" s="142"/>
    </row>
    <row r="9" spans="1:38" ht="12" customHeight="1" x14ac:dyDescent="0.25">
      <c r="A9" s="195" t="s">
        <v>54</v>
      </c>
      <c r="B9" s="196">
        <v>12.54</v>
      </c>
      <c r="C9" s="197"/>
      <c r="D9" s="200" t="s">
        <v>23</v>
      </c>
      <c r="E9" s="200">
        <v>12.801</v>
      </c>
      <c r="F9" s="200">
        <v>66105</v>
      </c>
      <c r="G9" s="200">
        <v>55061</v>
      </c>
      <c r="H9" s="201"/>
      <c r="I9"/>
      <c r="K9" s="159" t="s">
        <v>31</v>
      </c>
      <c r="L9" s="211">
        <f>N3</f>
        <v>1.012</v>
      </c>
      <c r="M9"/>
      <c r="N9"/>
      <c r="O9"/>
      <c r="P9" s="184" t="s">
        <v>62</v>
      </c>
      <c r="Q9" s="208">
        <f>T35</f>
        <v>792.74825174825185</v>
      </c>
      <c r="R9" s="195"/>
      <c r="S9" s="195"/>
      <c r="T9" s="208"/>
      <c r="U9" s="195"/>
      <c r="V9"/>
      <c r="W9"/>
      <c r="X9"/>
      <c r="Y9" s="148"/>
      <c r="Z9" s="154"/>
    </row>
    <row r="10" spans="1:38" x14ac:dyDescent="0.25">
      <c r="A10" s="195" t="s">
        <v>32</v>
      </c>
      <c r="B10" s="196">
        <v>64609</v>
      </c>
      <c r="C10" s="197"/>
      <c r="D10" s="200" t="s">
        <v>27</v>
      </c>
      <c r="E10" s="203">
        <v>12.54</v>
      </c>
      <c r="F10" s="200">
        <v>64609</v>
      </c>
      <c r="G10" s="200">
        <v>53565</v>
      </c>
      <c r="H10" s="201"/>
      <c r="I10"/>
      <c r="K10" s="159" t="s">
        <v>63</v>
      </c>
      <c r="L10" s="212">
        <f>L3/(40*Q6)</f>
        <v>27.741848058933407</v>
      </c>
      <c r="M10" s="184"/>
      <c r="N10" s="184"/>
      <c r="O10" s="184"/>
      <c r="P10" s="184"/>
      <c r="Q10" s="184"/>
      <c r="R10" s="195"/>
      <c r="S10" s="195"/>
      <c r="T10" s="208"/>
      <c r="U10" s="195"/>
      <c r="V10"/>
      <c r="W10"/>
      <c r="X10"/>
      <c r="Y10" s="143"/>
      <c r="Z10" s="143"/>
      <c r="AA10" s="143"/>
      <c r="AB10" s="143"/>
      <c r="AC10" s="143"/>
      <c r="AD10" s="143"/>
      <c r="AE10" s="143"/>
      <c r="AF10" s="143"/>
      <c r="AG10" s="143"/>
      <c r="AH10" s="143"/>
      <c r="AI10" s="143"/>
      <c r="AJ10" s="143"/>
      <c r="AK10" s="143"/>
      <c r="AL10" s="143"/>
    </row>
    <row r="11" spans="1:38" x14ac:dyDescent="0.25">
      <c r="A11" s="195" t="s">
        <v>41</v>
      </c>
      <c r="B11" s="204">
        <v>11044.1</v>
      </c>
      <c r="C11" s="197"/>
      <c r="D11" s="200" t="s">
        <v>30</v>
      </c>
      <c r="E11" s="200">
        <v>12.279</v>
      </c>
      <c r="F11" s="200">
        <v>63116</v>
      </c>
      <c r="G11" s="200">
        <v>52072</v>
      </c>
      <c r="H11" s="201"/>
      <c r="I11"/>
      <c r="K11" s="137" t="s">
        <v>42</v>
      </c>
      <c r="L11" s="213">
        <f>(1.025-L9)*L10/(1.025-1)</f>
        <v>14.425760990645314</v>
      </c>
      <c r="M11" s="214"/>
      <c r="N11" s="215"/>
      <c r="O11" s="184"/>
      <c r="P11" s="184" t="s">
        <v>4</v>
      </c>
      <c r="Q11" s="186">
        <f>P41</f>
        <v>96.609830861876674</v>
      </c>
      <c r="R11" s="195"/>
      <c r="S11" s="195"/>
      <c r="T11" s="216"/>
      <c r="U11" s="195"/>
      <c r="V11"/>
      <c r="W11"/>
      <c r="X11"/>
      <c r="Y11" s="160"/>
      <c r="Z11" s="160"/>
      <c r="AA11" s="160"/>
      <c r="AB11" s="160"/>
      <c r="AC11" s="160"/>
      <c r="AD11" s="160"/>
      <c r="AE11" s="160"/>
      <c r="AF11" s="160"/>
      <c r="AG11" s="160"/>
      <c r="AH11" s="160"/>
      <c r="AI11" s="160"/>
      <c r="AJ11" s="160"/>
      <c r="AK11" s="160"/>
      <c r="AL11" s="160"/>
    </row>
    <row r="12" spans="1:38" ht="16.5" customHeight="1" x14ac:dyDescent="0.25">
      <c r="A12"/>
      <c r="B12"/>
      <c r="C12" s="197"/>
      <c r="D12" s="198"/>
      <c r="E12" s="198"/>
      <c r="F12" s="198"/>
      <c r="G12" s="198"/>
      <c r="H12" s="201"/>
      <c r="I12"/>
      <c r="L12"/>
      <c r="M12" s="184" t="s">
        <v>46</v>
      </c>
      <c r="N12" s="217">
        <f>N8+(L11/100)</f>
        <v>12.471670197319042</v>
      </c>
      <c r="O12" s="184"/>
      <c r="P12" s="184" t="s">
        <v>11</v>
      </c>
      <c r="Q12" s="186">
        <f>R41</f>
        <v>88.979830861876664</v>
      </c>
      <c r="R12" s="195"/>
      <c r="S12" s="195"/>
      <c r="T12" s="216"/>
      <c r="U12" s="195"/>
      <c r="V12"/>
      <c r="W12"/>
      <c r="X12"/>
      <c r="Y12" s="142"/>
      <c r="AB12" s="142"/>
      <c r="AC12" s="142"/>
      <c r="AD12" s="142"/>
      <c r="AE12" s="142"/>
      <c r="AF12" s="142"/>
      <c r="AG12" s="142"/>
      <c r="AH12" s="142"/>
      <c r="AI12" s="161"/>
      <c r="AL12" s="142"/>
    </row>
    <row r="13" spans="1:38" ht="18" customHeight="1" x14ac:dyDescent="0.25">
      <c r="A13" s="205" t="s">
        <v>33</v>
      </c>
      <c r="B13" s="205" t="s">
        <v>34</v>
      </c>
      <c r="C13" s="205" t="s">
        <v>39</v>
      </c>
      <c r="D13" s="205" t="s">
        <v>35</v>
      </c>
      <c r="E13" s="205" t="s">
        <v>36</v>
      </c>
      <c r="F13" s="205" t="s">
        <v>38</v>
      </c>
      <c r="G13" s="205" t="s">
        <v>37</v>
      </c>
      <c r="H13" s="205" t="s">
        <v>40</v>
      </c>
      <c r="I13" s="205" t="s">
        <v>33</v>
      </c>
      <c r="J13" s="143"/>
      <c r="L13"/>
      <c r="M13" s="184"/>
      <c r="N13" s="184"/>
      <c r="O13" s="184"/>
      <c r="P13" s="184" t="s">
        <v>62</v>
      </c>
      <c r="Q13" s="208">
        <f>T41/1.025*N3</f>
        <v>785.47168249175672</v>
      </c>
      <c r="R13" s="218" t="s">
        <v>107</v>
      </c>
      <c r="S13"/>
      <c r="T13"/>
      <c r="U13"/>
      <c r="V13"/>
      <c r="W13"/>
      <c r="X13"/>
      <c r="Y13" s="142"/>
      <c r="AB13" s="142"/>
      <c r="AC13" s="142"/>
      <c r="AD13" s="142"/>
      <c r="AE13" s="142"/>
      <c r="AF13" s="142"/>
      <c r="AG13" s="142"/>
      <c r="AH13" s="142"/>
      <c r="AI13" s="161"/>
      <c r="AL13" s="142"/>
    </row>
    <row r="14" spans="1:38" x14ac:dyDescent="0.25">
      <c r="A14" s="194" t="s">
        <v>44</v>
      </c>
      <c r="B14" s="194" t="s">
        <v>47</v>
      </c>
      <c r="C14" s="194" t="s">
        <v>48</v>
      </c>
      <c r="D14" s="194" t="s">
        <v>44</v>
      </c>
      <c r="E14" s="194" t="s">
        <v>44</v>
      </c>
      <c r="F14" s="194" t="s">
        <v>49</v>
      </c>
      <c r="G14" s="194" t="s">
        <v>44</v>
      </c>
      <c r="H14" s="194" t="s">
        <v>45</v>
      </c>
      <c r="I14" s="194" t="s">
        <v>45</v>
      </c>
      <c r="J14" s="136"/>
      <c r="K14" s="159" t="s">
        <v>57</v>
      </c>
      <c r="L14" s="120"/>
      <c r="M14" s="120"/>
      <c r="N14" s="120"/>
      <c r="O14" s="120"/>
      <c r="P14" s="120"/>
      <c r="Q14" s="120"/>
      <c r="R14" s="120"/>
      <c r="S14" s="120"/>
      <c r="T14" s="120"/>
      <c r="U14" s="120"/>
      <c r="V14" s="120"/>
      <c r="W14" s="120"/>
      <c r="X14" s="120"/>
      <c r="Y14" s="144"/>
      <c r="AB14" s="142"/>
      <c r="AC14" s="142"/>
      <c r="AD14" s="142"/>
      <c r="AE14" s="142"/>
      <c r="AF14" s="142"/>
      <c r="AG14" s="142"/>
      <c r="AH14" s="142"/>
      <c r="AI14" s="161"/>
      <c r="AL14" s="142"/>
    </row>
    <row r="15" spans="1:38" x14ac:dyDescent="0.25">
      <c r="A15" s="206">
        <v>2.5</v>
      </c>
      <c r="B15">
        <v>11203</v>
      </c>
      <c r="C15" s="206">
        <v>48</v>
      </c>
      <c r="D15" s="206">
        <v>101.38</v>
      </c>
      <c r="E15" s="206">
        <v>100.7</v>
      </c>
      <c r="F15" s="206">
        <v>493.3</v>
      </c>
      <c r="G15" s="206">
        <v>33.47</v>
      </c>
      <c r="H15" s="207">
        <v>0.73399999999999999</v>
      </c>
      <c r="I15" s="206">
        <v>2.5</v>
      </c>
      <c r="J15" s="213"/>
      <c r="K15" s="402" t="s">
        <v>50</v>
      </c>
      <c r="L15" s="399" t="s">
        <v>51</v>
      </c>
      <c r="M15" s="399"/>
      <c r="N15" s="400" t="s">
        <v>43</v>
      </c>
      <c r="O15" s="400"/>
      <c r="P15" s="400" t="s">
        <v>4</v>
      </c>
      <c r="Q15" s="400"/>
      <c r="R15" s="399" t="s">
        <v>11</v>
      </c>
      <c r="S15" s="399"/>
      <c r="T15" s="399" t="s">
        <v>12</v>
      </c>
      <c r="U15" s="399"/>
      <c r="V15" s="399" t="s">
        <v>52</v>
      </c>
      <c r="W15" s="399"/>
      <c r="X15" s="120"/>
      <c r="Y15" s="144"/>
      <c r="AB15" s="142"/>
      <c r="AC15" s="142"/>
      <c r="AD15" s="142"/>
      <c r="AE15" s="142"/>
      <c r="AF15" s="142"/>
      <c r="AG15" s="142"/>
      <c r="AH15" s="142"/>
      <c r="AI15" s="161"/>
      <c r="AL15" s="142"/>
    </row>
    <row r="16" spans="1:38" x14ac:dyDescent="0.25">
      <c r="A16" s="206">
        <v>2.6</v>
      </c>
      <c r="B16">
        <v>11683</v>
      </c>
      <c r="C16" s="206">
        <v>48.1</v>
      </c>
      <c r="D16" s="206">
        <v>101.35</v>
      </c>
      <c r="E16" s="206">
        <v>100.66</v>
      </c>
      <c r="F16" s="206">
        <v>497.1</v>
      </c>
      <c r="G16" s="206">
        <v>32.35</v>
      </c>
      <c r="H16" s="207">
        <v>0.73599999999999999</v>
      </c>
      <c r="I16" s="206">
        <v>2.6</v>
      </c>
      <c r="J16" s="213"/>
      <c r="K16" s="402"/>
      <c r="L16" s="211">
        <f>$B$2</f>
        <v>12.577999999999999</v>
      </c>
      <c r="M16" s="213">
        <f>ROUNDUP(L16,1)</f>
        <v>12.6</v>
      </c>
      <c r="N16" s="120"/>
      <c r="O16" s="120"/>
      <c r="P16" s="120"/>
      <c r="Q16" s="120"/>
      <c r="R16" s="120"/>
      <c r="S16" s="120"/>
      <c r="T16" s="120"/>
      <c r="U16" s="120"/>
      <c r="V16" s="120"/>
      <c r="W16" s="120"/>
      <c r="X16" s="120"/>
      <c r="Y16" s="144"/>
      <c r="AB16" s="142"/>
      <c r="AC16" s="142"/>
      <c r="AD16" s="142"/>
      <c r="AE16" s="142"/>
      <c r="AF16" s="142"/>
      <c r="AG16" s="142"/>
      <c r="AH16" s="142"/>
      <c r="AI16" s="161"/>
      <c r="AL16" s="142"/>
    </row>
    <row r="17" spans="1:38" x14ac:dyDescent="0.25">
      <c r="A17" s="206">
        <v>2.7</v>
      </c>
      <c r="B17">
        <v>12165</v>
      </c>
      <c r="C17" s="206">
        <v>48.3</v>
      </c>
      <c r="D17" s="206">
        <v>101.32</v>
      </c>
      <c r="E17" s="206">
        <v>100.62</v>
      </c>
      <c r="F17" s="206">
        <v>500.8</v>
      </c>
      <c r="G17" s="206">
        <v>31.32</v>
      </c>
      <c r="H17" s="207">
        <v>0.73799999999999999</v>
      </c>
      <c r="I17" s="206">
        <v>2.7</v>
      </c>
      <c r="J17" s="213"/>
      <c r="K17" s="402"/>
      <c r="L17" s="120">
        <f>MATCH($L$16,$A$15:$A$122,1)</f>
        <v>101</v>
      </c>
      <c r="M17" s="120">
        <f>MATCH($M$16+0.0001,$A$15:$A$122,1)</f>
        <v>102</v>
      </c>
      <c r="N17" s="120">
        <f>MATCH($L$16,$A$15:$A$122,1)</f>
        <v>101</v>
      </c>
      <c r="O17" s="120">
        <f>MATCH($M$16+0.0001,$A$15:$A$122,1)</f>
        <v>102</v>
      </c>
      <c r="P17" s="120">
        <f>MATCH($L$16,$A$15:$A$122,1)</f>
        <v>101</v>
      </c>
      <c r="Q17" s="120">
        <f>MATCH($M$16+0.0001,$A$15:$A$122,1)</f>
        <v>102</v>
      </c>
      <c r="R17" s="120">
        <f>MATCH($L$16,$A$15:$A$122,1)</f>
        <v>101</v>
      </c>
      <c r="S17" s="120">
        <f>MATCH($M$16+0.0001,$A$15:$A$122,1)</f>
        <v>102</v>
      </c>
      <c r="T17" s="120">
        <f>MATCH($L$16,$A$15:$A$122,1)</f>
        <v>101</v>
      </c>
      <c r="U17" s="120">
        <f>MATCH($M$16+0.0001,$A$15:$A$122,1)</f>
        <v>102</v>
      </c>
      <c r="V17" s="120">
        <f>MATCH($L$16,$A$15:$A$122,1)</f>
        <v>101</v>
      </c>
      <c r="W17" s="120">
        <f>MATCH($M$16+0.0001,$A$15:$A$122,1)</f>
        <v>102</v>
      </c>
      <c r="X17" s="120"/>
      <c r="Y17" s="144"/>
      <c r="AB17" s="142"/>
      <c r="AC17" s="142"/>
      <c r="AD17" s="142"/>
      <c r="AE17" s="142"/>
      <c r="AF17" s="142"/>
      <c r="AG17" s="142"/>
      <c r="AH17" s="142"/>
      <c r="AI17" s="161"/>
      <c r="AL17" s="142"/>
    </row>
    <row r="18" spans="1:38" x14ac:dyDescent="0.25">
      <c r="A18" s="206">
        <v>2.8</v>
      </c>
      <c r="B18">
        <v>12649</v>
      </c>
      <c r="C18" s="206">
        <v>48.4</v>
      </c>
      <c r="D18" s="206">
        <v>101.29</v>
      </c>
      <c r="E18" s="206">
        <v>100.57</v>
      </c>
      <c r="F18" s="206">
        <v>504.4</v>
      </c>
      <c r="G18" s="206">
        <v>30.36</v>
      </c>
      <c r="H18" s="207">
        <v>0.74</v>
      </c>
      <c r="I18" s="206">
        <v>2.8</v>
      </c>
      <c r="J18" s="213"/>
      <c r="K18" s="402"/>
      <c r="L18" s="120">
        <f>INDEX($A$15:$H$122,L17,2)</f>
        <v>64380</v>
      </c>
      <c r="M18" s="120">
        <f>INDEX($A$15:$H$122,M17,2)</f>
        <v>64953</v>
      </c>
      <c r="N18" s="213">
        <f>INDEX($A$15:$H$122,N17,3)</f>
        <v>57.3</v>
      </c>
      <c r="O18" s="213">
        <f>INDEX($A$15:$H$122,O17,3)</f>
        <v>57.3</v>
      </c>
      <c r="P18" s="120">
        <f>INDEX($A$15:$H$122,P17,4)</f>
        <v>96.59</v>
      </c>
      <c r="Q18" s="120">
        <f>INDEX($A$15:$H$122,Q17,4)</f>
        <v>96.52</v>
      </c>
      <c r="R18" s="120">
        <f>INDEX($A$15:$H$122,R17,5)</f>
        <v>88.96</v>
      </c>
      <c r="S18" s="120">
        <f>INDEX($A$15:$H$122,S17,5)</f>
        <v>88.89</v>
      </c>
      <c r="T18" s="120">
        <f>INDEX($A$15:$H$122,T17,6)</f>
        <v>796.1</v>
      </c>
      <c r="U18" s="120">
        <f>INDEX($A$15:$H$122,U17,6)</f>
        <v>798</v>
      </c>
      <c r="V18" s="120">
        <f>INDEX($A$15:$H$122,V17,7)</f>
        <v>13.68</v>
      </c>
      <c r="W18" s="120">
        <f>INDEX($A$15:$H$122,W17,7)</f>
        <v>13.68</v>
      </c>
      <c r="X18" s="120"/>
      <c r="Y18" s="144"/>
      <c r="AB18" s="142"/>
      <c r="AC18" s="142"/>
      <c r="AD18" s="142"/>
      <c r="AE18" s="142"/>
      <c r="AF18" s="142"/>
      <c r="AG18" s="142"/>
      <c r="AH18" s="142"/>
      <c r="AI18" s="161"/>
      <c r="AL18" s="142"/>
    </row>
    <row r="19" spans="1:38" x14ac:dyDescent="0.25">
      <c r="A19" s="206">
        <v>2.9</v>
      </c>
      <c r="B19">
        <v>13134</v>
      </c>
      <c r="C19" s="206">
        <v>48.6</v>
      </c>
      <c r="D19" s="206">
        <v>101.26</v>
      </c>
      <c r="E19" s="206">
        <v>100.53</v>
      </c>
      <c r="F19" s="206">
        <v>508</v>
      </c>
      <c r="G19" s="206">
        <v>29.48</v>
      </c>
      <c r="H19" s="207">
        <v>0.74199999999999999</v>
      </c>
      <c r="I19" s="206">
        <v>2.9</v>
      </c>
      <c r="J19" s="213"/>
      <c r="K19" s="402"/>
      <c r="L19" s="219">
        <f>ABS(L16-M16+0.1)*($M$18-$L$18)/0.1+L18</f>
        <v>64826.939999999995</v>
      </c>
      <c r="M19" s="120"/>
      <c r="N19" s="212">
        <f>ABS($L$16-$M$16+0.1)*(O18-N18)/0.1+N18</f>
        <v>57.3</v>
      </c>
      <c r="O19" s="120"/>
      <c r="P19" s="212">
        <f>ABS($L$16-$M$16+0.1)*(Q18-P18)/0.1+P18</f>
        <v>96.535399999999996</v>
      </c>
      <c r="Q19" s="120"/>
      <c r="R19" s="211">
        <f>ABS($L$16-$M$16+0.1)*(S18-R18)/0.1+R18</f>
        <v>88.9054</v>
      </c>
      <c r="S19" s="120"/>
      <c r="T19" s="212">
        <f>ABS($L$16-$M$16+0.1)*(U18-T18)/0.1+T18</f>
        <v>797.58199999999999</v>
      </c>
      <c r="U19" s="120"/>
      <c r="V19" s="212">
        <f>ABS($L$16-$M$16+0.1)*(W18-V18)/0.1+V18</f>
        <v>13.68</v>
      </c>
      <c r="W19" s="120"/>
      <c r="X19" s="120"/>
      <c r="Y19" s="144"/>
      <c r="AB19" s="142"/>
      <c r="AC19" s="142"/>
      <c r="AD19" s="142"/>
      <c r="AE19" s="142"/>
      <c r="AF19" s="142"/>
      <c r="AG19" s="142"/>
      <c r="AH19" s="142"/>
      <c r="AI19" s="161"/>
      <c r="AL19" s="142"/>
    </row>
    <row r="20" spans="1:38" x14ac:dyDescent="0.25">
      <c r="A20" s="206">
        <v>3</v>
      </c>
      <c r="B20">
        <v>13620</v>
      </c>
      <c r="C20" s="206">
        <v>48.7</v>
      </c>
      <c r="D20" s="206">
        <v>101.24</v>
      </c>
      <c r="E20" s="206">
        <v>100.49</v>
      </c>
      <c r="F20" s="206">
        <v>511.6</v>
      </c>
      <c r="G20" s="206">
        <v>28.65</v>
      </c>
      <c r="H20" s="207">
        <v>0.74399999999999999</v>
      </c>
      <c r="I20" s="206">
        <v>3</v>
      </c>
      <c r="J20" s="213"/>
      <c r="K20" s="120"/>
      <c r="L20" s="120"/>
      <c r="M20" s="120"/>
      <c r="N20" s="120"/>
      <c r="O20" s="220" t="s">
        <v>6</v>
      </c>
      <c r="P20" s="212">
        <f>-P19+91.625</f>
        <v>-4.9103999999999957</v>
      </c>
      <c r="Q20" s="220" t="s">
        <v>13</v>
      </c>
      <c r="R20" s="212">
        <f>-R19+91.625</f>
        <v>2.7195999999999998</v>
      </c>
      <c r="S20" s="120"/>
      <c r="T20" s="120"/>
      <c r="U20" s="120"/>
      <c r="V20" s="120"/>
      <c r="W20" s="120"/>
      <c r="X20" s="120"/>
      <c r="Y20" s="144"/>
      <c r="AB20" s="142"/>
      <c r="AC20" s="142"/>
      <c r="AD20" s="142"/>
      <c r="AE20" s="142"/>
      <c r="AF20" s="142"/>
      <c r="AG20" s="142"/>
      <c r="AH20" s="142"/>
      <c r="AI20" s="161"/>
      <c r="AL20" s="142"/>
    </row>
    <row r="21" spans="1:38" x14ac:dyDescent="0.25">
      <c r="A21" s="206">
        <v>3.1</v>
      </c>
      <c r="B21">
        <v>14108</v>
      </c>
      <c r="C21" s="206">
        <v>48.8</v>
      </c>
      <c r="D21" s="206">
        <v>101.21</v>
      </c>
      <c r="E21" s="206">
        <v>100.45</v>
      </c>
      <c r="F21" s="206">
        <v>514.9</v>
      </c>
      <c r="G21" s="206">
        <v>27.88</v>
      </c>
      <c r="H21" s="207">
        <v>0.746</v>
      </c>
      <c r="I21" s="206">
        <v>3.1</v>
      </c>
      <c r="J21" s="213"/>
      <c r="K21" s="221"/>
      <c r="L21" s="221"/>
      <c r="M21" s="221"/>
      <c r="N21" s="120"/>
      <c r="O21" s="120"/>
      <c r="P21" s="120"/>
      <c r="Q21" s="120"/>
      <c r="R21" s="120"/>
      <c r="S21" s="120"/>
      <c r="T21" s="120"/>
      <c r="U21" s="120"/>
      <c r="V21" s="120"/>
      <c r="W21" s="120"/>
      <c r="X21" s="120"/>
      <c r="Y21" s="144"/>
      <c r="AB21" s="142"/>
      <c r="AC21" s="142"/>
      <c r="AD21" s="142"/>
      <c r="AE21" s="142"/>
      <c r="AF21" s="142"/>
      <c r="AG21" s="142"/>
      <c r="AH21" s="142"/>
      <c r="AI21" s="161"/>
      <c r="AL21" s="142"/>
    </row>
    <row r="22" spans="1:38" x14ac:dyDescent="0.25">
      <c r="A22" s="206">
        <v>3.2</v>
      </c>
      <c r="B22">
        <v>14597</v>
      </c>
      <c r="C22" s="206">
        <v>49</v>
      </c>
      <c r="D22" s="206">
        <v>101.18</v>
      </c>
      <c r="E22" s="206">
        <v>100.41</v>
      </c>
      <c r="F22" s="206">
        <v>518.20000000000005</v>
      </c>
      <c r="G22" s="206">
        <v>27.16</v>
      </c>
      <c r="H22" s="207">
        <v>0.748</v>
      </c>
      <c r="I22" s="206">
        <v>3.2</v>
      </c>
      <c r="J22" s="213"/>
      <c r="K22" s="236"/>
      <c r="L22" s="211"/>
      <c r="M22" s="213"/>
      <c r="N22" s="120"/>
      <c r="O22" s="120"/>
      <c r="P22" s="120"/>
      <c r="Q22" s="120"/>
      <c r="R22" s="120"/>
      <c r="S22" s="120"/>
      <c r="T22" s="120"/>
      <c r="U22" s="120"/>
      <c r="V22" s="120"/>
      <c r="W22" s="120"/>
      <c r="X22" s="120"/>
      <c r="Y22" s="162"/>
      <c r="Z22" s="133"/>
      <c r="AA22" s="133"/>
      <c r="AB22" s="163"/>
      <c r="AC22" s="163"/>
      <c r="AD22" s="163"/>
      <c r="AE22" s="163"/>
      <c r="AF22" s="163"/>
      <c r="AG22" s="163"/>
      <c r="AH22" s="163"/>
      <c r="AI22" s="164"/>
      <c r="AJ22" s="133"/>
      <c r="AK22" s="133"/>
      <c r="AL22" s="163"/>
    </row>
    <row r="23" spans="1:38" x14ac:dyDescent="0.25">
      <c r="A23" s="206">
        <v>3.3</v>
      </c>
      <c r="B23">
        <v>15087</v>
      </c>
      <c r="C23" s="206">
        <v>49.1</v>
      </c>
      <c r="D23" s="206">
        <v>101.16</v>
      </c>
      <c r="E23" s="206">
        <v>100.37</v>
      </c>
      <c r="F23" s="206">
        <v>521.4</v>
      </c>
      <c r="G23" s="206">
        <v>26.49</v>
      </c>
      <c r="H23" s="207">
        <v>0.75</v>
      </c>
      <c r="I23" s="206">
        <v>3.3</v>
      </c>
      <c r="J23" s="213"/>
      <c r="K23" s="236"/>
      <c r="L23" s="120"/>
      <c r="M23" s="120"/>
      <c r="N23" s="120"/>
      <c r="O23" s="120"/>
      <c r="P23" s="120"/>
      <c r="Q23" s="120"/>
      <c r="R23" s="120"/>
      <c r="S23" s="120"/>
      <c r="T23" s="120"/>
      <c r="U23" s="120"/>
      <c r="V23" s="120"/>
      <c r="W23" s="120"/>
      <c r="X23" s="120"/>
      <c r="Y23" s="144"/>
      <c r="AB23" s="142"/>
      <c r="AC23" s="142"/>
      <c r="AD23" s="142"/>
      <c r="AE23" s="142"/>
      <c r="AF23" s="142"/>
      <c r="AG23" s="142"/>
      <c r="AH23" s="142"/>
      <c r="AI23" s="161"/>
      <c r="AL23" s="142"/>
    </row>
    <row r="24" spans="1:38" x14ac:dyDescent="0.25">
      <c r="A24" s="206">
        <v>3.4</v>
      </c>
      <c r="B24">
        <v>15578</v>
      </c>
      <c r="C24" s="206">
        <v>49.2</v>
      </c>
      <c r="D24" s="206">
        <v>101.13</v>
      </c>
      <c r="E24" s="206">
        <v>100.35</v>
      </c>
      <c r="F24" s="206">
        <v>524.4</v>
      </c>
      <c r="G24" s="206">
        <v>25.86</v>
      </c>
      <c r="H24" s="207">
        <v>0.752</v>
      </c>
      <c r="I24" s="206">
        <v>3.4</v>
      </c>
      <c r="J24" s="213"/>
      <c r="K24" s="236"/>
      <c r="L24" s="120"/>
      <c r="M24" s="120"/>
      <c r="N24" s="120"/>
      <c r="O24" s="120"/>
      <c r="P24" s="120"/>
      <c r="Q24" s="120"/>
      <c r="R24" s="120"/>
      <c r="S24" s="120"/>
      <c r="T24" s="120"/>
      <c r="U24" s="120"/>
      <c r="V24" s="120"/>
      <c r="W24" s="120"/>
      <c r="X24" s="120"/>
      <c r="Y24" s="144"/>
      <c r="AB24" s="142"/>
      <c r="AC24" s="142"/>
      <c r="AD24" s="142"/>
      <c r="AE24" s="142"/>
      <c r="AF24" s="142"/>
      <c r="AG24" s="142"/>
      <c r="AH24" s="142"/>
      <c r="AI24" s="161"/>
      <c r="AL24" s="142"/>
    </row>
    <row r="25" spans="1:38" x14ac:dyDescent="0.25">
      <c r="A25" s="206">
        <v>3.5</v>
      </c>
      <c r="B25">
        <v>16071</v>
      </c>
      <c r="C25" s="206">
        <v>49.3</v>
      </c>
      <c r="D25" s="206">
        <v>101.11</v>
      </c>
      <c r="E25" s="206">
        <v>100.32</v>
      </c>
      <c r="F25" s="206">
        <v>527.20000000000005</v>
      </c>
      <c r="G25" s="206">
        <v>25.26</v>
      </c>
      <c r="H25" s="207">
        <v>0.753</v>
      </c>
      <c r="I25" s="206">
        <v>3.5</v>
      </c>
      <c r="J25" s="213"/>
      <c r="K25" s="236"/>
      <c r="L25" s="219"/>
      <c r="M25" s="120"/>
      <c r="N25" s="212"/>
      <c r="O25" s="120"/>
      <c r="P25" s="212"/>
      <c r="Q25" s="120"/>
      <c r="R25" s="212"/>
      <c r="S25" s="120"/>
      <c r="T25" s="212"/>
      <c r="U25" s="120"/>
      <c r="V25" s="212"/>
      <c r="W25" s="120"/>
      <c r="X25" s="120"/>
      <c r="Y25" s="144"/>
      <c r="AB25" s="142"/>
      <c r="AC25" s="142"/>
      <c r="AD25" s="142"/>
      <c r="AE25" s="142"/>
      <c r="AF25" s="142"/>
      <c r="AG25" s="142"/>
      <c r="AH25" s="142"/>
      <c r="AI25" s="161"/>
      <c r="AL25" s="142"/>
    </row>
    <row r="26" spans="1:38" x14ac:dyDescent="0.25">
      <c r="A26" s="206">
        <v>3.6</v>
      </c>
      <c r="B26">
        <v>16565</v>
      </c>
      <c r="C26" s="206">
        <v>49.4</v>
      </c>
      <c r="D26" s="206">
        <v>101.08</v>
      </c>
      <c r="E26" s="206">
        <v>100.28</v>
      </c>
      <c r="F26" s="206">
        <v>530</v>
      </c>
      <c r="G26" s="206">
        <v>24.7</v>
      </c>
      <c r="H26" s="207">
        <v>0.755</v>
      </c>
      <c r="I26" s="206">
        <v>3.6</v>
      </c>
      <c r="J26" s="213"/>
      <c r="K26" s="120"/>
      <c r="L26" s="120"/>
      <c r="M26" s="120"/>
      <c r="N26" s="120"/>
      <c r="O26" s="120"/>
      <c r="P26" s="212"/>
      <c r="Q26" s="120"/>
      <c r="R26" s="212"/>
      <c r="S26" s="120"/>
      <c r="T26" s="120"/>
      <c r="U26" s="120"/>
      <c r="V26" s="120"/>
      <c r="W26" s="120"/>
      <c r="X26" s="120"/>
      <c r="Y26" s="144"/>
      <c r="AB26" s="142"/>
      <c r="AC26" s="142"/>
      <c r="AD26" s="142"/>
      <c r="AE26" s="142"/>
      <c r="AF26" s="142"/>
      <c r="AG26" s="142"/>
      <c r="AH26" s="142"/>
      <c r="AI26" s="161"/>
      <c r="AL26" s="142"/>
    </row>
    <row r="27" spans="1:38" x14ac:dyDescent="0.25">
      <c r="A27" s="206">
        <v>3.7</v>
      </c>
      <c r="B27">
        <v>17059</v>
      </c>
      <c r="C27" s="206">
        <v>49.5</v>
      </c>
      <c r="D27" s="206">
        <v>101.06</v>
      </c>
      <c r="E27" s="206">
        <v>100.25</v>
      </c>
      <c r="F27" s="206">
        <v>532.79999999999995</v>
      </c>
      <c r="G27" s="206">
        <v>24.17</v>
      </c>
      <c r="H27" s="207">
        <v>0.75700000000000001</v>
      </c>
      <c r="I27" s="206">
        <v>3.7</v>
      </c>
      <c r="J27" s="213"/>
      <c r="K27" s="120"/>
      <c r="L27" s="120"/>
      <c r="M27" s="120"/>
      <c r="N27" s="120"/>
      <c r="O27" s="120"/>
      <c r="P27" s="120"/>
      <c r="Q27" s="120"/>
      <c r="R27" s="120"/>
      <c r="S27" s="120"/>
      <c r="T27" s="120"/>
      <c r="U27" s="120"/>
      <c r="V27" s="120"/>
      <c r="W27" s="120"/>
      <c r="X27" s="120"/>
      <c r="Y27" s="144"/>
      <c r="AB27" s="142"/>
      <c r="AC27" s="142"/>
      <c r="AD27" s="142"/>
      <c r="AE27" s="142"/>
      <c r="AF27" s="142"/>
      <c r="AG27" s="142"/>
      <c r="AH27" s="142"/>
      <c r="AI27" s="161"/>
      <c r="AL27" s="142"/>
    </row>
    <row r="28" spans="1:38" x14ac:dyDescent="0.25">
      <c r="A28" s="206">
        <v>3.8</v>
      </c>
      <c r="B28">
        <v>17555</v>
      </c>
      <c r="C28" s="206">
        <v>49.6</v>
      </c>
      <c r="D28" s="206">
        <v>101.04</v>
      </c>
      <c r="E28" s="206">
        <v>100.21</v>
      </c>
      <c r="F28" s="206">
        <v>535.4</v>
      </c>
      <c r="G28" s="206">
        <v>23.67</v>
      </c>
      <c r="H28" s="207">
        <v>0.75800000000000001</v>
      </c>
      <c r="I28" s="206">
        <v>3.8</v>
      </c>
      <c r="J28" s="213"/>
      <c r="K28" s="120"/>
      <c r="L28" s="120"/>
      <c r="M28" s="120"/>
      <c r="N28" s="120"/>
      <c r="O28" s="120"/>
      <c r="P28" s="120"/>
      <c r="Q28" s="120"/>
      <c r="R28" s="120"/>
      <c r="S28" s="120"/>
      <c r="T28" s="120"/>
      <c r="U28" s="120"/>
      <c r="V28" s="120"/>
      <c r="W28" s="120"/>
      <c r="X28" s="120"/>
      <c r="Y28" s="144"/>
      <c r="AB28" s="142"/>
      <c r="AC28" s="142"/>
      <c r="AD28" s="142"/>
      <c r="AE28" s="142"/>
      <c r="AF28" s="142"/>
      <c r="AG28" s="142"/>
      <c r="AH28" s="142"/>
      <c r="AI28" s="161"/>
      <c r="AL28" s="142"/>
    </row>
    <row r="29" spans="1:38" x14ac:dyDescent="0.25">
      <c r="A29" s="206">
        <v>3.9</v>
      </c>
      <c r="B29">
        <v>18052</v>
      </c>
      <c r="C29" s="206">
        <v>49.7</v>
      </c>
      <c r="D29" s="206">
        <v>101.01</v>
      </c>
      <c r="E29" s="206">
        <v>100.18</v>
      </c>
      <c r="F29" s="206">
        <v>538.1</v>
      </c>
      <c r="G29" s="206">
        <v>23.2</v>
      </c>
      <c r="H29" s="207">
        <v>0.76</v>
      </c>
      <c r="I29" s="206">
        <v>3.9</v>
      </c>
      <c r="J29" s="213"/>
      <c r="K29" s="120"/>
      <c r="L29" s="120"/>
      <c r="M29" s="120"/>
      <c r="N29" s="120"/>
      <c r="O29" s="120"/>
      <c r="P29" s="120"/>
      <c r="Q29" s="120"/>
      <c r="R29" s="120"/>
      <c r="S29" s="120"/>
      <c r="T29" s="120"/>
      <c r="U29" s="120"/>
      <c r="V29" s="120"/>
      <c r="W29" s="120"/>
      <c r="X29" s="120"/>
      <c r="Y29" s="144"/>
      <c r="AB29" s="142"/>
      <c r="AC29" s="142"/>
      <c r="AD29" s="142"/>
      <c r="AE29" s="142"/>
      <c r="AF29" s="142"/>
      <c r="AG29" s="142"/>
      <c r="AH29" s="142"/>
      <c r="AI29" s="161"/>
      <c r="AL29" s="142"/>
    </row>
    <row r="30" spans="1:38" x14ac:dyDescent="0.25">
      <c r="A30" s="206">
        <v>4</v>
      </c>
      <c r="B30">
        <v>18550</v>
      </c>
      <c r="C30" s="206">
        <v>49.8</v>
      </c>
      <c r="D30" s="206">
        <v>100.99</v>
      </c>
      <c r="E30" s="206">
        <v>100.14</v>
      </c>
      <c r="F30" s="206">
        <v>540.70000000000005</v>
      </c>
      <c r="G30" s="206">
        <v>22.75</v>
      </c>
      <c r="H30" s="207">
        <v>0.76100000000000001</v>
      </c>
      <c r="I30" s="206">
        <v>4</v>
      </c>
      <c r="J30" s="213"/>
      <c r="K30" s="221" t="s">
        <v>61</v>
      </c>
      <c r="L30" s="120"/>
      <c r="M30" s="120"/>
      <c r="N30" s="120"/>
      <c r="O30" s="120"/>
      <c r="P30" s="120"/>
      <c r="Q30" s="120"/>
      <c r="R30" s="120"/>
      <c r="S30" s="120"/>
      <c r="T30" s="120"/>
      <c r="U30" s="120"/>
      <c r="V30" s="120"/>
      <c r="W30" s="120"/>
      <c r="X30" s="120"/>
      <c r="Y30" s="144"/>
      <c r="AB30" s="142"/>
      <c r="AC30" s="142"/>
      <c r="AD30" s="142"/>
      <c r="AE30" s="142"/>
      <c r="AF30" s="142"/>
      <c r="AG30" s="142"/>
      <c r="AH30" s="142"/>
      <c r="AI30" s="161"/>
      <c r="AL30" s="142"/>
    </row>
    <row r="31" spans="1:38" x14ac:dyDescent="0.25">
      <c r="A31" s="206">
        <v>4.0999999999999996</v>
      </c>
      <c r="B31">
        <v>19048</v>
      </c>
      <c r="C31" s="206">
        <v>49.9</v>
      </c>
      <c r="D31" s="206">
        <v>100.97</v>
      </c>
      <c r="E31" s="206">
        <v>100.09</v>
      </c>
      <c r="F31" s="206">
        <v>543.20000000000005</v>
      </c>
      <c r="G31" s="206">
        <v>22.33</v>
      </c>
      <c r="H31" s="207">
        <v>0.76300000000000001</v>
      </c>
      <c r="I31" s="206">
        <v>4.0999999999999996</v>
      </c>
      <c r="J31" s="213"/>
      <c r="K31" s="402" t="s">
        <v>50</v>
      </c>
      <c r="L31" s="399" t="s">
        <v>51</v>
      </c>
      <c r="M31" s="399"/>
      <c r="N31" s="400" t="s">
        <v>43</v>
      </c>
      <c r="O31" s="400"/>
      <c r="P31" s="400" t="s">
        <v>4</v>
      </c>
      <c r="Q31" s="400"/>
      <c r="R31" s="399" t="s">
        <v>11</v>
      </c>
      <c r="S31" s="399"/>
      <c r="T31" s="399" t="s">
        <v>12</v>
      </c>
      <c r="U31" s="399"/>
      <c r="V31" s="399" t="s">
        <v>52</v>
      </c>
      <c r="W31" s="399"/>
      <c r="X31" s="120"/>
      <c r="Y31" s="144"/>
      <c r="AB31" s="142"/>
      <c r="AC31" s="142"/>
      <c r="AD31" s="142"/>
      <c r="AE31" s="142"/>
      <c r="AF31" s="142"/>
      <c r="AG31" s="142"/>
      <c r="AH31" s="142"/>
      <c r="AI31" s="161"/>
      <c r="AL31" s="142"/>
    </row>
    <row r="32" spans="1:38" x14ac:dyDescent="0.25">
      <c r="A32" s="206">
        <v>4.2</v>
      </c>
      <c r="B32">
        <v>19548</v>
      </c>
      <c r="C32" s="206">
        <v>50</v>
      </c>
      <c r="D32" s="206">
        <v>100.95</v>
      </c>
      <c r="E32" s="206">
        <v>100.05</v>
      </c>
      <c r="F32" s="206">
        <v>545.79999999999995</v>
      </c>
      <c r="G32" s="206">
        <v>21.93</v>
      </c>
      <c r="H32" s="207">
        <v>0.76400000000000001</v>
      </c>
      <c r="I32" s="206">
        <v>4.2</v>
      </c>
      <c r="J32" s="213"/>
      <c r="K32" s="402"/>
      <c r="L32" s="211">
        <f>N8</f>
        <v>12.327412587412589</v>
      </c>
      <c r="M32" s="213">
        <f>ROUNDUP(L32,1)</f>
        <v>12.4</v>
      </c>
      <c r="N32" s="120"/>
      <c r="O32" s="120"/>
      <c r="P32" s="120"/>
      <c r="Q32" s="120"/>
      <c r="R32" s="120"/>
      <c r="S32" s="120"/>
      <c r="T32" s="120"/>
      <c r="U32" s="120"/>
      <c r="V32" s="120"/>
      <c r="W32" s="120"/>
      <c r="X32" s="120"/>
      <c r="Y32" s="162"/>
      <c r="Z32" s="133"/>
      <c r="AA32" s="133"/>
      <c r="AB32" s="163"/>
      <c r="AC32" s="163"/>
      <c r="AD32" s="163"/>
      <c r="AE32" s="163"/>
      <c r="AF32" s="163"/>
      <c r="AG32" s="163"/>
      <c r="AH32" s="163"/>
      <c r="AI32" s="164"/>
      <c r="AJ32" s="133"/>
      <c r="AK32" s="133"/>
      <c r="AL32" s="163"/>
    </row>
    <row r="33" spans="1:38" x14ac:dyDescent="0.25">
      <c r="A33" s="206">
        <v>4.3</v>
      </c>
      <c r="B33">
        <v>20049</v>
      </c>
      <c r="C33" s="206">
        <v>50.1</v>
      </c>
      <c r="D33" s="206">
        <v>100.92</v>
      </c>
      <c r="E33" s="206">
        <v>100</v>
      </c>
      <c r="F33" s="206">
        <v>548.4</v>
      </c>
      <c r="G33" s="206">
        <v>21.55</v>
      </c>
      <c r="H33" s="207">
        <v>0.76600000000000001</v>
      </c>
      <c r="I33" s="206">
        <v>4.3</v>
      </c>
      <c r="J33" s="213"/>
      <c r="K33" s="402"/>
      <c r="L33" s="120">
        <f>MATCH($L$32,$A$15:$A$122,1)</f>
        <v>99</v>
      </c>
      <c r="M33" s="120">
        <f>MATCH($M$32+0.0001,$A$15:$A$122,1)</f>
        <v>100</v>
      </c>
      <c r="N33" s="120">
        <f>L33</f>
        <v>99</v>
      </c>
      <c r="O33" s="120">
        <f>M33</f>
        <v>100</v>
      </c>
      <c r="P33" s="120">
        <f>L33</f>
        <v>99</v>
      </c>
      <c r="Q33" s="120">
        <f>M33</f>
        <v>100</v>
      </c>
      <c r="R33" s="120">
        <f>L33</f>
        <v>99</v>
      </c>
      <c r="S33" s="120">
        <f>M33</f>
        <v>100</v>
      </c>
      <c r="T33" s="120">
        <f>L33</f>
        <v>99</v>
      </c>
      <c r="U33" s="120">
        <f>M33</f>
        <v>100</v>
      </c>
      <c r="V33" s="120">
        <f>L33</f>
        <v>99</v>
      </c>
      <c r="W33" s="120">
        <f>M33</f>
        <v>100</v>
      </c>
      <c r="X33" s="120"/>
      <c r="Y33" s="144"/>
      <c r="AB33" s="142"/>
      <c r="AC33" s="142"/>
      <c r="AD33" s="142"/>
      <c r="AE33" s="142"/>
      <c r="AF33" s="142"/>
      <c r="AG33" s="142"/>
      <c r="AH33" s="142"/>
      <c r="AI33" s="161"/>
      <c r="AL33" s="142"/>
    </row>
    <row r="34" spans="1:38" x14ac:dyDescent="0.25">
      <c r="A34" s="206">
        <v>4.4000000000000004</v>
      </c>
      <c r="B34">
        <v>20551</v>
      </c>
      <c r="C34" s="206">
        <v>50.2</v>
      </c>
      <c r="D34" s="206">
        <v>100.9</v>
      </c>
      <c r="E34" s="206">
        <v>99.95</v>
      </c>
      <c r="F34" s="206">
        <v>551</v>
      </c>
      <c r="G34" s="206">
        <v>21.19</v>
      </c>
      <c r="H34" s="207">
        <v>0.76700000000000002</v>
      </c>
      <c r="I34" s="206">
        <v>4.4000000000000004</v>
      </c>
      <c r="J34" s="213"/>
      <c r="K34" s="402"/>
      <c r="L34" s="120">
        <f>INDEX($A$15:$H$122,L33,2)</f>
        <v>63236</v>
      </c>
      <c r="M34" s="120">
        <f>INDEX($A$15:$H$122,M33,2)</f>
        <v>63808</v>
      </c>
      <c r="N34" s="120">
        <f>INDEX($A$15:$H$122,N33,3)</f>
        <v>57.1</v>
      </c>
      <c r="O34" s="120">
        <f>INDEX($A$15:$H$122,O33,3)</f>
        <v>57.2</v>
      </c>
      <c r="P34" s="120">
        <f>INDEX($A$15:$H$122,P33,4)</f>
        <v>96.72</v>
      </c>
      <c r="Q34" s="120">
        <f>INDEX($A$15:$H$122,Q33,4)</f>
        <v>96.66</v>
      </c>
      <c r="R34" s="120">
        <f>INDEX($A$15:$H$122,R33,5)</f>
        <v>89.11</v>
      </c>
      <c r="S34" s="120">
        <f>INDEX($A$15:$H$122,S33,5)</f>
        <v>89.03</v>
      </c>
      <c r="T34" s="120">
        <f>INDEX($A$15:$H$122,T33,6)</f>
        <v>792.2</v>
      </c>
      <c r="U34" s="120">
        <f>INDEX($A$15:$H$122,U33,6)</f>
        <v>794.2</v>
      </c>
      <c r="V34" s="120">
        <f>INDEX($A$15:$H$122,V33,7)</f>
        <v>13.68</v>
      </c>
      <c r="W34" s="120">
        <f>INDEX($A$15:$H$122,W33,7)</f>
        <v>13.68</v>
      </c>
      <c r="X34" s="120"/>
      <c r="Y34" s="144"/>
      <c r="AB34" s="142"/>
      <c r="AC34" s="142"/>
      <c r="AD34" s="142"/>
      <c r="AE34" s="142"/>
      <c r="AF34" s="142"/>
      <c r="AG34" s="142"/>
      <c r="AH34" s="142"/>
      <c r="AI34" s="161"/>
      <c r="AL34" s="142"/>
    </row>
    <row r="35" spans="1:38" x14ac:dyDescent="0.25">
      <c r="A35" s="206">
        <v>4.5</v>
      </c>
      <c r="B35">
        <v>21053</v>
      </c>
      <c r="C35" s="206">
        <v>50.3</v>
      </c>
      <c r="D35" s="206">
        <v>100.88</v>
      </c>
      <c r="E35" s="206">
        <v>99.89</v>
      </c>
      <c r="F35" s="206">
        <v>553.5</v>
      </c>
      <c r="G35" s="206">
        <v>20.84</v>
      </c>
      <c r="H35" s="207">
        <v>0.76800000000000002</v>
      </c>
      <c r="I35" s="206">
        <v>4.5</v>
      </c>
      <c r="J35" s="213"/>
      <c r="K35" s="402"/>
      <c r="L35" s="219">
        <f>ABS(L32-M32+0.1)*($M$18-$L$18)/0.1+L34</f>
        <v>63393.074125874133</v>
      </c>
      <c r="M35" s="120"/>
      <c r="N35" s="212">
        <f>ABS($L$32-$M$32+0.1)*(O34-N34)/0.1+N34</f>
        <v>57.127412587412593</v>
      </c>
      <c r="O35" s="120"/>
      <c r="P35" s="211">
        <f>ABS($L$32-$M$32+0.1)*(Q34-P34)/0.1+P34</f>
        <v>96.70355244755244</v>
      </c>
      <c r="Q35" s="120"/>
      <c r="R35" s="212">
        <f>ABS($L$32-$M$32+0.1)*(S34-R34)/0.1+R34</f>
        <v>89.088069930069935</v>
      </c>
      <c r="S35" s="120"/>
      <c r="T35" s="212">
        <f>ABS($L$32-$M$32+0.1)*(U34-T34)/0.1+T34</f>
        <v>792.74825174825185</v>
      </c>
      <c r="U35" s="120"/>
      <c r="V35" s="212">
        <f>ABS($L$32-$M$32+0.1)*(W34-V34)/0.1+V34</f>
        <v>13.68</v>
      </c>
      <c r="W35" s="120"/>
      <c r="X35" s="120"/>
      <c r="Y35" s="144"/>
      <c r="AB35" s="142"/>
      <c r="AC35" s="142"/>
      <c r="AD35" s="142"/>
      <c r="AE35" s="142"/>
      <c r="AF35" s="142"/>
      <c r="AG35" s="142"/>
      <c r="AH35" s="142"/>
      <c r="AI35" s="161"/>
      <c r="AL35" s="142"/>
    </row>
    <row r="36" spans="1:38" x14ac:dyDescent="0.25">
      <c r="A36" s="206">
        <v>4.5999999999999996</v>
      </c>
      <c r="B36">
        <v>21557</v>
      </c>
      <c r="C36" s="206">
        <v>50.4</v>
      </c>
      <c r="D36" s="206">
        <v>100.85</v>
      </c>
      <c r="E36" s="206">
        <v>99.83</v>
      </c>
      <c r="F36" s="206">
        <v>556</v>
      </c>
      <c r="G36" s="206">
        <v>20.52</v>
      </c>
      <c r="H36" s="207">
        <v>0.77</v>
      </c>
      <c r="I36" s="206">
        <v>4.5999999999999996</v>
      </c>
      <c r="J36" s="213"/>
      <c r="K36" s="222" t="s">
        <v>60</v>
      </c>
      <c r="L36" s="222"/>
      <c r="M36" s="120"/>
      <c r="N36" s="120"/>
      <c r="O36" s="120"/>
      <c r="P36" s="120"/>
      <c r="Q36" s="120"/>
      <c r="R36" s="120"/>
      <c r="S36" s="120"/>
      <c r="T36" s="120"/>
      <c r="U36" s="120"/>
      <c r="V36" s="120"/>
      <c r="W36" s="120"/>
      <c r="X36" s="120"/>
      <c r="Y36" s="144"/>
      <c r="AB36" s="142"/>
      <c r="AC36" s="142"/>
      <c r="AD36" s="142"/>
      <c r="AE36" s="142"/>
      <c r="AF36" s="142"/>
      <c r="AG36" s="142"/>
      <c r="AH36" s="142"/>
      <c r="AI36" s="161"/>
      <c r="AL36" s="142"/>
    </row>
    <row r="37" spans="1:38" x14ac:dyDescent="0.25">
      <c r="A37" s="206">
        <v>4.7</v>
      </c>
      <c r="B37">
        <v>22061</v>
      </c>
      <c r="C37" s="206">
        <v>50.5</v>
      </c>
      <c r="D37" s="206">
        <v>100.83</v>
      </c>
      <c r="E37" s="206">
        <v>99.77</v>
      </c>
      <c r="F37" s="206">
        <v>558.5</v>
      </c>
      <c r="G37" s="206">
        <v>20.2</v>
      </c>
      <c r="H37" s="207">
        <v>0.77100000000000002</v>
      </c>
      <c r="I37" s="206">
        <v>4.7</v>
      </c>
      <c r="J37" s="213"/>
      <c r="K37" s="402" t="s">
        <v>53</v>
      </c>
      <c r="L37" s="399" t="s">
        <v>51</v>
      </c>
      <c r="M37" s="399"/>
      <c r="N37" s="400" t="s">
        <v>43</v>
      </c>
      <c r="O37" s="400"/>
      <c r="P37" s="400" t="s">
        <v>4</v>
      </c>
      <c r="Q37" s="400"/>
      <c r="R37" s="399" t="s">
        <v>11</v>
      </c>
      <c r="S37" s="399"/>
      <c r="T37" s="399" t="s">
        <v>12</v>
      </c>
      <c r="U37" s="399"/>
      <c r="V37" s="399" t="s">
        <v>52</v>
      </c>
      <c r="W37" s="399"/>
      <c r="X37" s="120"/>
      <c r="Y37" s="144"/>
      <c r="AB37" s="142"/>
      <c r="AC37" s="142"/>
      <c r="AD37" s="142"/>
      <c r="AE37" s="142"/>
      <c r="AF37" s="142"/>
      <c r="AG37" s="142"/>
      <c r="AH37" s="142"/>
      <c r="AI37" s="161"/>
      <c r="AL37" s="142"/>
    </row>
    <row r="38" spans="1:38" x14ac:dyDescent="0.25">
      <c r="A38" s="206">
        <v>4.8</v>
      </c>
      <c r="B38">
        <v>22566</v>
      </c>
      <c r="C38" s="206">
        <v>50.6</v>
      </c>
      <c r="D38" s="206">
        <v>100.8</v>
      </c>
      <c r="E38" s="206">
        <v>99.71</v>
      </c>
      <c r="F38" s="206">
        <v>561</v>
      </c>
      <c r="G38" s="206">
        <v>19.91</v>
      </c>
      <c r="H38" s="207">
        <v>0.77200000000000002</v>
      </c>
      <c r="I38" s="206">
        <v>4.8</v>
      </c>
      <c r="J38" s="213"/>
      <c r="K38" s="402"/>
      <c r="L38" s="223">
        <f>N12</f>
        <v>12.471670197319042</v>
      </c>
      <c r="M38" s="213">
        <f>ROUNDUP(L38,1)</f>
        <v>12.5</v>
      </c>
      <c r="N38" s="120"/>
      <c r="O38" s="120"/>
      <c r="P38" s="120"/>
      <c r="Q38" s="120"/>
      <c r="R38" s="120"/>
      <c r="S38" s="120"/>
      <c r="T38" s="120"/>
      <c r="U38" s="120"/>
      <c r="V38" s="120"/>
      <c r="W38" s="120"/>
      <c r="X38" s="120"/>
      <c r="Y38" s="144"/>
      <c r="AB38" s="142"/>
      <c r="AC38" s="142"/>
      <c r="AD38" s="142"/>
      <c r="AE38" s="142"/>
      <c r="AF38" s="142"/>
      <c r="AG38" s="142"/>
      <c r="AH38" s="142"/>
      <c r="AI38" s="161"/>
      <c r="AL38" s="142"/>
    </row>
    <row r="39" spans="1:38" x14ac:dyDescent="0.25">
      <c r="A39" s="206">
        <v>4.9000000000000004</v>
      </c>
      <c r="B39">
        <v>23072</v>
      </c>
      <c r="C39" s="206">
        <v>50.7</v>
      </c>
      <c r="D39" s="206">
        <v>100.78</v>
      </c>
      <c r="E39" s="206">
        <v>99.64</v>
      </c>
      <c r="F39" s="206">
        <v>563.6</v>
      </c>
      <c r="G39" s="206">
        <v>19.63</v>
      </c>
      <c r="H39" s="207">
        <v>0.77400000000000002</v>
      </c>
      <c r="I39" s="206">
        <v>4.9000000000000004</v>
      </c>
      <c r="J39" s="213"/>
      <c r="K39" s="402"/>
      <c r="L39" s="120">
        <f>MATCH($L$38,$A$15:$A$122,1)</f>
        <v>100</v>
      </c>
      <c r="M39" s="120">
        <f>MATCH($M$38+0.00001,$A$15:$A$122,1)</f>
        <v>101</v>
      </c>
      <c r="N39" s="120">
        <f>L39</f>
        <v>100</v>
      </c>
      <c r="O39" s="120">
        <f>M39</f>
        <v>101</v>
      </c>
      <c r="P39" s="120">
        <f>L39</f>
        <v>100</v>
      </c>
      <c r="Q39" s="120">
        <f>M39</f>
        <v>101</v>
      </c>
      <c r="R39" s="120">
        <f>L39</f>
        <v>100</v>
      </c>
      <c r="S39" s="120">
        <f>M39</f>
        <v>101</v>
      </c>
      <c r="T39" s="120">
        <f>L39</f>
        <v>100</v>
      </c>
      <c r="U39" s="120">
        <f>M39</f>
        <v>101</v>
      </c>
      <c r="V39" s="120">
        <f>L39</f>
        <v>100</v>
      </c>
      <c r="W39" s="120">
        <f>M39</f>
        <v>101</v>
      </c>
      <c r="X39" s="120"/>
      <c r="Y39" s="144"/>
      <c r="AB39" s="142"/>
      <c r="AC39" s="142"/>
      <c r="AD39" s="142"/>
      <c r="AE39" s="142"/>
      <c r="AF39" s="142"/>
      <c r="AG39" s="142"/>
      <c r="AH39" s="142"/>
      <c r="AI39" s="161"/>
      <c r="AL39" s="142"/>
    </row>
    <row r="40" spans="1:38" x14ac:dyDescent="0.25">
      <c r="A40" s="206">
        <v>5</v>
      </c>
      <c r="B40">
        <v>23579</v>
      </c>
      <c r="C40" s="206">
        <v>50.8</v>
      </c>
      <c r="D40" s="206">
        <v>100.76</v>
      </c>
      <c r="E40" s="206">
        <v>99.58</v>
      </c>
      <c r="F40" s="206">
        <v>566.20000000000005</v>
      </c>
      <c r="G40" s="206">
        <v>19.36</v>
      </c>
      <c r="H40" s="207">
        <v>0.77500000000000002</v>
      </c>
      <c r="I40" s="206">
        <v>5</v>
      </c>
      <c r="J40" s="213"/>
      <c r="K40" s="402"/>
      <c r="L40" s="120">
        <f>INDEX($A$15:$H$122,L39,2)</f>
        <v>63808</v>
      </c>
      <c r="M40" s="120">
        <f>INDEX($A$15:$H$122,M39,2)</f>
        <v>64380</v>
      </c>
      <c r="N40" s="120">
        <f>INDEX($A$15:$H$122,N39,3)</f>
        <v>57.2</v>
      </c>
      <c r="O40" s="120">
        <f>INDEX($A$15:$H$122,O39,3)</f>
        <v>57.3</v>
      </c>
      <c r="P40" s="120">
        <f>INDEX($A$15:$H$122,P39,4)</f>
        <v>96.66</v>
      </c>
      <c r="Q40" s="120">
        <f>INDEX($A$15:$H$122,Q39,4)</f>
        <v>96.59</v>
      </c>
      <c r="R40" s="120">
        <f>INDEX($A$15:$H$122,R39,5)</f>
        <v>89.03</v>
      </c>
      <c r="S40" s="120">
        <f>INDEX($A$15:$H$122,S39,5)</f>
        <v>88.96</v>
      </c>
      <c r="T40" s="120">
        <f>INDEX($A$15:$H$122,T39,6)</f>
        <v>794.2</v>
      </c>
      <c r="U40" s="120">
        <f>INDEX($A$15:$H$122,U39,6)</f>
        <v>796.1</v>
      </c>
      <c r="V40" s="120">
        <f>INDEX($A$15:$H$122,V39,7)</f>
        <v>13.68</v>
      </c>
      <c r="W40" s="120">
        <f>INDEX($A$15:$H$122,W39,7)</f>
        <v>13.68</v>
      </c>
      <c r="X40" s="120"/>
      <c r="Y40" s="144"/>
      <c r="AB40" s="142"/>
      <c r="AC40" s="142"/>
      <c r="AD40" s="142"/>
      <c r="AE40" s="142"/>
      <c r="AF40" s="142"/>
      <c r="AG40" s="142"/>
      <c r="AH40" s="142"/>
      <c r="AI40" s="161"/>
      <c r="AL40" s="142"/>
    </row>
    <row r="41" spans="1:38" x14ac:dyDescent="0.25">
      <c r="A41" s="206">
        <v>5.0999999999999996</v>
      </c>
      <c r="B41">
        <v>24087</v>
      </c>
      <c r="C41" s="206">
        <v>50.8</v>
      </c>
      <c r="D41" s="206">
        <v>100.73</v>
      </c>
      <c r="E41" s="206">
        <v>99.5</v>
      </c>
      <c r="F41" s="206">
        <v>568.79999999999995</v>
      </c>
      <c r="G41" s="206">
        <v>19.100000000000001</v>
      </c>
      <c r="H41" s="207">
        <v>0.77600000000000002</v>
      </c>
      <c r="I41" s="206">
        <v>5.0999999999999996</v>
      </c>
      <c r="J41" s="213"/>
      <c r="K41" s="402"/>
      <c r="L41" s="219">
        <f>ABS(L38-M38+0.1)*($M$18-$L$18)/0.1+L40</f>
        <v>64218.670230638112</v>
      </c>
      <c r="M41" s="120"/>
      <c r="N41" s="212">
        <f>ABS($L$38-$M$38+0.1)*(O40-N40)/0.1+N40</f>
        <v>57.27167019731904</v>
      </c>
      <c r="O41" s="120"/>
      <c r="P41" s="211">
        <f>ABS($L$38-$M$38+0.1)*(Q40-P40)/0.1+P40</f>
        <v>96.609830861876674</v>
      </c>
      <c r="Q41" s="120"/>
      <c r="R41" s="212">
        <f>ABS($L$38-$M$38+0.1)*(S40-R40)/0.1+R40</f>
        <v>88.979830861876664</v>
      </c>
      <c r="S41" s="120"/>
      <c r="T41" s="212">
        <f>ABS($L$38-$M$38+0.1)*(U40-T40)/0.1+T40</f>
        <v>795.56173374906189</v>
      </c>
      <c r="U41" s="120"/>
      <c r="V41" s="212">
        <f>ABS($L$38-$M$38+0.1)*(W40-V40)/0.1+V40</f>
        <v>13.68</v>
      </c>
      <c r="W41" s="120"/>
      <c r="X41" s="120"/>
      <c r="Y41" s="144"/>
      <c r="AB41" s="142"/>
      <c r="AC41" s="142"/>
      <c r="AD41" s="142"/>
      <c r="AE41" s="142"/>
      <c r="AF41" s="142"/>
      <c r="AG41" s="142"/>
      <c r="AH41" s="142"/>
      <c r="AI41" s="161"/>
      <c r="AL41" s="142"/>
    </row>
    <row r="42" spans="1:38" x14ac:dyDescent="0.25">
      <c r="A42" s="206">
        <v>5.2</v>
      </c>
      <c r="B42">
        <v>24596</v>
      </c>
      <c r="C42" s="206">
        <v>50.9</v>
      </c>
      <c r="D42" s="206">
        <v>100.7</v>
      </c>
      <c r="E42" s="206">
        <v>99.43</v>
      </c>
      <c r="F42" s="206">
        <v>571.4</v>
      </c>
      <c r="G42" s="206">
        <v>18.850000000000001</v>
      </c>
      <c r="H42" s="207">
        <v>0.77700000000000002</v>
      </c>
      <c r="I42" s="206">
        <v>5.2</v>
      </c>
      <c r="J42" s="213"/>
      <c r="K42" s="120"/>
      <c r="L42" s="120"/>
      <c r="M42" s="120"/>
      <c r="N42" s="120"/>
      <c r="O42" s="120"/>
      <c r="P42" s="120"/>
      <c r="Q42" s="120"/>
      <c r="R42" s="120"/>
      <c r="S42" s="120"/>
      <c r="T42" s="120"/>
      <c r="U42" s="120"/>
      <c r="V42" s="120"/>
      <c r="W42" s="120"/>
      <c r="X42" s="120"/>
      <c r="Y42" s="162"/>
      <c r="Z42" s="133"/>
      <c r="AA42" s="133"/>
      <c r="AB42" s="163"/>
      <c r="AC42" s="163"/>
      <c r="AD42" s="163"/>
      <c r="AE42" s="163"/>
      <c r="AF42" s="163"/>
      <c r="AG42" s="163"/>
      <c r="AH42" s="163"/>
      <c r="AI42" s="164"/>
      <c r="AJ42" s="133"/>
      <c r="AK42" s="133"/>
      <c r="AL42" s="163"/>
    </row>
    <row r="43" spans="1:38" x14ac:dyDescent="0.25">
      <c r="A43" s="206">
        <v>5.3</v>
      </c>
      <c r="B43">
        <v>25106</v>
      </c>
      <c r="C43" s="206">
        <v>51</v>
      </c>
      <c r="D43" s="206">
        <v>100.68</v>
      </c>
      <c r="E43" s="206">
        <v>99.35</v>
      </c>
      <c r="F43" s="206">
        <v>574</v>
      </c>
      <c r="G43" s="206">
        <v>18.62</v>
      </c>
      <c r="H43" s="207">
        <v>0.77900000000000003</v>
      </c>
      <c r="I43" s="206">
        <v>5.3</v>
      </c>
      <c r="J43" s="213"/>
      <c r="K43" s="123"/>
      <c r="L43" s="123"/>
      <c r="M43" s="123"/>
      <c r="N43" s="220"/>
      <c r="O43" s="220"/>
      <c r="P43" s="220"/>
      <c r="Q43" s="220"/>
      <c r="R43" s="120"/>
      <c r="S43" s="120"/>
      <c r="T43" s="120"/>
      <c r="U43" s="120"/>
      <c r="V43" s="120"/>
      <c r="W43" s="120"/>
      <c r="X43" s="120"/>
      <c r="Y43" s="144"/>
      <c r="AB43" s="142"/>
      <c r="AC43" s="142"/>
      <c r="AD43" s="142"/>
      <c r="AE43" s="142"/>
      <c r="AF43" s="142"/>
      <c r="AG43" s="142"/>
      <c r="AH43" s="142"/>
      <c r="AI43" s="161"/>
      <c r="AL43" s="142"/>
    </row>
    <row r="44" spans="1:38" x14ac:dyDescent="0.25">
      <c r="A44" s="206">
        <v>5.4</v>
      </c>
      <c r="B44">
        <v>25617</v>
      </c>
      <c r="C44" s="206">
        <v>51.1</v>
      </c>
      <c r="D44" s="206">
        <v>100.65</v>
      </c>
      <c r="E44" s="206">
        <v>99.27</v>
      </c>
      <c r="F44" s="206">
        <v>576.70000000000005</v>
      </c>
      <c r="G44" s="206">
        <v>18.399999999999999</v>
      </c>
      <c r="H44" s="207">
        <v>0.78</v>
      </c>
      <c r="I44" s="206">
        <v>5.4</v>
      </c>
      <c r="J44" s="206"/>
      <c r="K44"/>
      <c r="L44"/>
      <c r="M44"/>
      <c r="N44"/>
      <c r="O44"/>
      <c r="P44"/>
      <c r="Q44"/>
      <c r="R44"/>
      <c r="S44" s="184"/>
      <c r="T44"/>
      <c r="U44" s="184"/>
      <c r="V44" s="184"/>
      <c r="W44" s="205"/>
      <c r="X44"/>
      <c r="Y44" s="142"/>
      <c r="AB44" s="142"/>
      <c r="AC44" s="142"/>
      <c r="AD44" s="142"/>
      <c r="AE44" s="142"/>
      <c r="AF44" s="142"/>
      <c r="AG44" s="142"/>
      <c r="AH44" s="142"/>
      <c r="AI44" s="161"/>
      <c r="AL44" s="142"/>
    </row>
    <row r="45" spans="1:38" x14ac:dyDescent="0.25">
      <c r="A45" s="206">
        <v>5.5</v>
      </c>
      <c r="B45">
        <v>26129</v>
      </c>
      <c r="C45" s="206">
        <v>51.2</v>
      </c>
      <c r="D45" s="206">
        <v>100.62</v>
      </c>
      <c r="E45" s="206">
        <v>99.19</v>
      </c>
      <c r="F45" s="206">
        <v>579.4</v>
      </c>
      <c r="G45" s="206">
        <v>18.18</v>
      </c>
      <c r="H45" s="207">
        <v>0.78100000000000003</v>
      </c>
      <c r="I45" s="206">
        <v>5.5</v>
      </c>
      <c r="J45" s="206"/>
      <c r="K45"/>
      <c r="L45"/>
      <c r="M45"/>
      <c r="N45" s="224"/>
      <c r="O45" s="224"/>
      <c r="P45" s="181"/>
      <c r="Q45"/>
      <c r="R45"/>
      <c r="S45" s="225"/>
      <c r="T45"/>
      <c r="U45" s="225"/>
      <c r="V45" s="226"/>
      <c r="W45" s="227"/>
      <c r="X45"/>
      <c r="Y45" s="142"/>
      <c r="AB45" s="142"/>
      <c r="AC45" s="142"/>
      <c r="AD45" s="142"/>
      <c r="AE45" s="142"/>
      <c r="AF45" s="142"/>
      <c r="AG45" s="142"/>
      <c r="AH45" s="142"/>
      <c r="AI45" s="161"/>
      <c r="AL45" s="142"/>
    </row>
    <row r="46" spans="1:38" x14ac:dyDescent="0.25">
      <c r="A46" s="206">
        <v>5.6</v>
      </c>
      <c r="B46">
        <v>26641</v>
      </c>
      <c r="C46" s="206">
        <v>51.3</v>
      </c>
      <c r="D46" s="206">
        <v>100.59</v>
      </c>
      <c r="E46" s="206">
        <v>99.11</v>
      </c>
      <c r="F46" s="206">
        <v>582.1</v>
      </c>
      <c r="G46" s="206">
        <v>17.98</v>
      </c>
      <c r="H46" s="207">
        <v>0.78200000000000003</v>
      </c>
      <c r="I46" s="206">
        <v>5.6</v>
      </c>
      <c r="J46" s="206"/>
      <c r="K46"/>
      <c r="L46"/>
      <c r="M46" s="82"/>
      <c r="N46" s="228"/>
      <c r="O46" s="195"/>
      <c r="P46" s="184"/>
      <c r="Q46" s="184"/>
      <c r="R46"/>
      <c r="S46" s="225"/>
      <c r="T46"/>
      <c r="U46" s="225"/>
      <c r="V46" s="226"/>
      <c r="W46" s="227"/>
      <c r="X46"/>
      <c r="Y46" s="142"/>
      <c r="AB46" s="142"/>
      <c r="AC46" s="142"/>
      <c r="AD46" s="142"/>
      <c r="AE46" s="142"/>
      <c r="AF46" s="142"/>
      <c r="AG46" s="142"/>
      <c r="AH46" s="142"/>
      <c r="AI46" s="161"/>
      <c r="AL46" s="142"/>
    </row>
    <row r="47" spans="1:38" x14ac:dyDescent="0.25">
      <c r="A47" s="206">
        <v>5.7</v>
      </c>
      <c r="B47">
        <v>27155</v>
      </c>
      <c r="C47" s="206">
        <v>51.4</v>
      </c>
      <c r="D47" s="206">
        <v>100.56</v>
      </c>
      <c r="E47" s="206">
        <v>99.02</v>
      </c>
      <c r="F47" s="206">
        <v>584.79999999999995</v>
      </c>
      <c r="G47" s="206">
        <v>17.78</v>
      </c>
      <c r="H47" s="207">
        <v>0.78300000000000003</v>
      </c>
      <c r="I47" s="206">
        <v>5.7</v>
      </c>
      <c r="J47" s="206"/>
      <c r="K47"/>
      <c r="L47" s="206"/>
      <c r="M47" s="82"/>
      <c r="N47" s="229"/>
      <c r="O47" s="208"/>
      <c r="P47"/>
      <c r="Q47"/>
      <c r="R47"/>
      <c r="S47" s="225"/>
      <c r="T47"/>
      <c r="U47" s="225"/>
      <c r="V47" s="226"/>
      <c r="W47" s="227"/>
      <c r="X47"/>
      <c r="Y47" s="142"/>
      <c r="AB47" s="142"/>
      <c r="AC47" s="142"/>
      <c r="AD47" s="142"/>
      <c r="AE47" s="142"/>
      <c r="AF47" s="142"/>
      <c r="AG47" s="142"/>
      <c r="AH47" s="142"/>
      <c r="AI47" s="161"/>
      <c r="AL47" s="142"/>
    </row>
    <row r="48" spans="1:38" x14ac:dyDescent="0.25">
      <c r="A48" s="206">
        <v>5.8</v>
      </c>
      <c r="B48">
        <v>27669</v>
      </c>
      <c r="C48" s="206">
        <v>51.5</v>
      </c>
      <c r="D48" s="206">
        <v>100.53</v>
      </c>
      <c r="E48" s="206">
        <v>98.92</v>
      </c>
      <c r="F48" s="206">
        <v>587.6</v>
      </c>
      <c r="G48" s="206">
        <v>17.59</v>
      </c>
      <c r="H48" s="207">
        <v>0.78400000000000003</v>
      </c>
      <c r="I48" s="206">
        <v>5.8</v>
      </c>
      <c r="J48" s="206"/>
      <c r="K48"/>
      <c r="L48" s="206"/>
      <c r="M48" s="82"/>
      <c r="N48" s="229"/>
      <c r="O48" s="208"/>
      <c r="P48"/>
      <c r="Q48"/>
      <c r="R48"/>
      <c r="S48" s="225"/>
      <c r="T48"/>
      <c r="U48" s="225"/>
      <c r="V48" s="226"/>
      <c r="W48" s="227"/>
      <c r="X48"/>
      <c r="Y48" s="142"/>
      <c r="AB48" s="142"/>
      <c r="AC48" s="142"/>
      <c r="AD48" s="142"/>
      <c r="AE48" s="142"/>
      <c r="AF48" s="142"/>
      <c r="AG48" s="142"/>
      <c r="AH48" s="142"/>
      <c r="AI48" s="161"/>
      <c r="AL48" s="142"/>
    </row>
    <row r="49" spans="1:38" x14ac:dyDescent="0.25">
      <c r="A49" s="206">
        <v>5.9</v>
      </c>
      <c r="B49">
        <v>28184</v>
      </c>
      <c r="C49" s="206">
        <v>51.6</v>
      </c>
      <c r="D49" s="206">
        <v>100.5</v>
      </c>
      <c r="E49" s="206">
        <v>98.83</v>
      </c>
      <c r="F49" s="206">
        <v>590.4</v>
      </c>
      <c r="G49" s="206">
        <v>17.41</v>
      </c>
      <c r="H49" s="207">
        <v>0.78500000000000003</v>
      </c>
      <c r="I49" s="206">
        <v>5.9</v>
      </c>
      <c r="J49" s="206"/>
      <c r="K49"/>
      <c r="L49" s="207"/>
      <c r="M49" s="82"/>
      <c r="N49" s="229"/>
      <c r="O49" s="208"/>
      <c r="P49"/>
      <c r="Q49"/>
      <c r="R49"/>
      <c r="S49" s="225"/>
      <c r="T49"/>
      <c r="U49" s="225"/>
      <c r="V49" s="226"/>
      <c r="W49" s="227"/>
      <c r="X49"/>
      <c r="Y49" s="142"/>
      <c r="AB49" s="142"/>
      <c r="AC49" s="142"/>
      <c r="AD49" s="142"/>
      <c r="AE49" s="142"/>
      <c r="AF49" s="142"/>
      <c r="AG49" s="142"/>
      <c r="AH49" s="142"/>
      <c r="AI49" s="161"/>
      <c r="AL49" s="142"/>
    </row>
    <row r="50" spans="1:38" x14ac:dyDescent="0.25">
      <c r="A50" s="206">
        <v>6</v>
      </c>
      <c r="B50">
        <v>28700</v>
      </c>
      <c r="C50" s="206">
        <v>51.7</v>
      </c>
      <c r="D50" s="206">
        <v>100.47</v>
      </c>
      <c r="E50" s="206">
        <v>98.73</v>
      </c>
      <c r="F50" s="206">
        <v>593.20000000000005</v>
      </c>
      <c r="G50" s="206">
        <v>17.239999999999998</v>
      </c>
      <c r="H50" s="207">
        <v>0.78600000000000003</v>
      </c>
      <c r="I50" s="206">
        <v>6</v>
      </c>
      <c r="J50" s="206"/>
      <c r="K50"/>
      <c r="L50" s="206"/>
      <c r="M50" s="82"/>
      <c r="N50" s="229"/>
      <c r="O50" s="195"/>
      <c r="P50" s="229"/>
      <c r="Q50" s="206"/>
      <c r="R50"/>
      <c r="S50" s="225"/>
      <c r="T50"/>
      <c r="U50" s="225"/>
      <c r="V50" s="226"/>
      <c r="W50" s="227"/>
      <c r="X50"/>
      <c r="Y50" s="142"/>
      <c r="AB50" s="142"/>
      <c r="AC50" s="142"/>
      <c r="AD50" s="142"/>
      <c r="AE50" s="142"/>
      <c r="AF50" s="142"/>
      <c r="AG50" s="142"/>
      <c r="AH50" s="142"/>
      <c r="AI50" s="161"/>
      <c r="AL50" s="142"/>
    </row>
    <row r="51" spans="1:38" x14ac:dyDescent="0.25">
      <c r="A51" s="206">
        <v>6.1</v>
      </c>
      <c r="B51">
        <v>29217</v>
      </c>
      <c r="C51" s="206">
        <v>51.7</v>
      </c>
      <c r="D51" s="206">
        <v>100.44</v>
      </c>
      <c r="E51" s="206">
        <v>98.63</v>
      </c>
      <c r="F51" s="206">
        <v>596</v>
      </c>
      <c r="G51" s="206">
        <v>17.079999999999998</v>
      </c>
      <c r="H51" s="207">
        <v>0.78800000000000003</v>
      </c>
      <c r="I51" s="206">
        <v>6.1</v>
      </c>
      <c r="J51" s="206"/>
      <c r="K51"/>
      <c r="L51" s="206"/>
      <c r="M51" s="82"/>
      <c r="N51" s="229"/>
      <c r="O51"/>
      <c r="P51"/>
      <c r="Q51"/>
      <c r="R51"/>
      <c r="S51" s="225"/>
      <c r="T51"/>
      <c r="U51" s="225"/>
      <c r="V51" s="226"/>
      <c r="W51" s="227"/>
      <c r="X51"/>
      <c r="Y51" s="142"/>
      <c r="AB51" s="142"/>
      <c r="AC51" s="142"/>
      <c r="AD51" s="142"/>
      <c r="AE51" s="142"/>
      <c r="AF51" s="142"/>
      <c r="AG51" s="142"/>
      <c r="AH51" s="142"/>
      <c r="AI51" s="161"/>
      <c r="AL51" s="142"/>
    </row>
    <row r="52" spans="1:38" x14ac:dyDescent="0.25">
      <c r="A52" s="206">
        <v>6.2</v>
      </c>
      <c r="B52">
        <v>29735</v>
      </c>
      <c r="C52" s="206">
        <v>52</v>
      </c>
      <c r="D52" s="206">
        <v>100.41</v>
      </c>
      <c r="E52" s="206">
        <v>98.27</v>
      </c>
      <c r="F52" s="206">
        <v>604.20000000000005</v>
      </c>
      <c r="G52" s="206">
        <v>16.97</v>
      </c>
      <c r="H52" s="207">
        <v>0.78900000000000003</v>
      </c>
      <c r="I52" s="206">
        <v>6.2</v>
      </c>
      <c r="J52" s="206"/>
      <c r="K52" s="215"/>
      <c r="L52" s="215"/>
      <c r="M52" s="82"/>
      <c r="N52" s="229"/>
      <c r="O52" s="183"/>
      <c r="P52" s="183"/>
      <c r="Q52"/>
      <c r="R52"/>
      <c r="S52" s="225"/>
      <c r="T52"/>
      <c r="U52" s="225"/>
      <c r="V52" s="226"/>
      <c r="W52" s="227"/>
      <c r="X52"/>
      <c r="Y52" s="163"/>
      <c r="Z52" s="133"/>
      <c r="AA52" s="133"/>
      <c r="AB52" s="163"/>
      <c r="AC52" s="163"/>
      <c r="AD52" s="163"/>
      <c r="AE52" s="163"/>
      <c r="AF52" s="163"/>
      <c r="AG52" s="163"/>
      <c r="AH52" s="163"/>
      <c r="AI52" s="164"/>
      <c r="AJ52" s="133"/>
      <c r="AK52" s="133"/>
      <c r="AL52" s="163"/>
    </row>
    <row r="53" spans="1:38" x14ac:dyDescent="0.25">
      <c r="A53" s="206">
        <v>6.3</v>
      </c>
      <c r="B53">
        <v>30256</v>
      </c>
      <c r="C53" s="206">
        <v>52.1</v>
      </c>
      <c r="D53" s="206">
        <v>100.37</v>
      </c>
      <c r="E53" s="206">
        <v>98.16</v>
      </c>
      <c r="F53" s="206">
        <v>607.1</v>
      </c>
      <c r="G53" s="206">
        <v>16.82</v>
      </c>
      <c r="H53" s="207">
        <v>0.79</v>
      </c>
      <c r="I53" s="206">
        <v>6.3</v>
      </c>
      <c r="J53" s="206"/>
      <c r="K53"/>
      <c r="L53" s="217"/>
      <c r="M53" s="82"/>
      <c r="N53" s="229"/>
      <c r="O53" s="183"/>
      <c r="P53" s="183"/>
      <c r="Q53"/>
      <c r="R53"/>
      <c r="S53" s="225"/>
      <c r="T53"/>
      <c r="U53" s="225"/>
      <c r="V53" s="226"/>
      <c r="W53" s="227"/>
      <c r="X53"/>
      <c r="Y53" s="142"/>
      <c r="AB53" s="142"/>
      <c r="AC53" s="142"/>
      <c r="AD53" s="142"/>
      <c r="AE53" s="142"/>
      <c r="AF53" s="142"/>
      <c r="AG53" s="142"/>
      <c r="AH53" s="142"/>
      <c r="AI53" s="161"/>
      <c r="AL53" s="142"/>
    </row>
    <row r="54" spans="1:38" x14ac:dyDescent="0.25">
      <c r="A54" s="206">
        <v>6.4</v>
      </c>
      <c r="B54">
        <v>30778</v>
      </c>
      <c r="C54" s="206">
        <v>52.2</v>
      </c>
      <c r="D54" s="206">
        <v>100.33</v>
      </c>
      <c r="E54" s="206">
        <v>98.05</v>
      </c>
      <c r="F54" s="206">
        <v>610.1</v>
      </c>
      <c r="G54" s="206">
        <v>16.670000000000002</v>
      </c>
      <c r="H54" s="207">
        <v>0.79100000000000004</v>
      </c>
      <c r="I54" s="206">
        <v>6.4</v>
      </c>
      <c r="J54" s="206"/>
      <c r="K54"/>
      <c r="L54"/>
      <c r="M54"/>
      <c r="N54" s="229"/>
      <c r="O54" s="183"/>
      <c r="P54" s="183"/>
      <c r="Q54"/>
      <c r="R54"/>
      <c r="S54" s="225"/>
      <c r="T54"/>
      <c r="U54" s="225"/>
      <c r="V54" s="226"/>
      <c r="W54" s="227"/>
      <c r="X54"/>
      <c r="Y54" s="142"/>
      <c r="AB54" s="142"/>
      <c r="AC54" s="142"/>
      <c r="AD54" s="142"/>
      <c r="AE54" s="142"/>
      <c r="AF54" s="142"/>
      <c r="AG54" s="142"/>
      <c r="AH54" s="142"/>
      <c r="AI54" s="161"/>
      <c r="AL54" s="142"/>
    </row>
    <row r="55" spans="1:38" x14ac:dyDescent="0.25">
      <c r="A55" s="206">
        <v>6.5</v>
      </c>
      <c r="B55">
        <v>31300</v>
      </c>
      <c r="C55" s="206">
        <v>52.3</v>
      </c>
      <c r="D55" s="206">
        <v>100.29</v>
      </c>
      <c r="E55" s="206">
        <v>97.93</v>
      </c>
      <c r="F55" s="206">
        <v>613.1</v>
      </c>
      <c r="G55" s="206">
        <v>16.53</v>
      </c>
      <c r="H55" s="207">
        <v>0.79200000000000004</v>
      </c>
      <c r="I55" s="206">
        <v>6.5</v>
      </c>
      <c r="J55" s="206"/>
      <c r="K55" s="70"/>
      <c r="L55" s="70"/>
      <c r="M55" s="70"/>
      <c r="N55" s="214"/>
      <c r="O55" s="214"/>
      <c r="P55" s="230"/>
      <c r="Q55"/>
      <c r="R55"/>
      <c r="S55" s="225"/>
      <c r="T55"/>
      <c r="U55" s="225"/>
      <c r="V55" s="226"/>
      <c r="W55" s="227"/>
      <c r="X55"/>
      <c r="Y55" s="142"/>
      <c r="AB55" s="142"/>
      <c r="AC55" s="142"/>
      <c r="AD55" s="142"/>
      <c r="AE55" s="142"/>
      <c r="AF55" s="142"/>
      <c r="AG55" s="142"/>
      <c r="AH55" s="142"/>
      <c r="AI55" s="161"/>
      <c r="AL55" s="142"/>
    </row>
    <row r="56" spans="1:38" x14ac:dyDescent="0.25">
      <c r="A56" s="206">
        <v>6.6</v>
      </c>
      <c r="B56">
        <v>31823</v>
      </c>
      <c r="C56" s="206">
        <v>52.4</v>
      </c>
      <c r="D56" s="206">
        <v>100.25</v>
      </c>
      <c r="E56" s="206">
        <v>97.82</v>
      </c>
      <c r="F56" s="206">
        <v>616.1</v>
      </c>
      <c r="G56" s="206">
        <v>16.399999999999999</v>
      </c>
      <c r="H56" s="207">
        <v>0.79300000000000004</v>
      </c>
      <c r="I56" s="206">
        <v>6.6</v>
      </c>
      <c r="J56" s="206"/>
      <c r="K56"/>
      <c r="L56" s="206"/>
      <c r="M56" s="82"/>
      <c r="N56"/>
      <c r="O56"/>
      <c r="P56"/>
      <c r="Q56"/>
      <c r="R56"/>
      <c r="S56" s="225"/>
      <c r="T56"/>
      <c r="U56" s="225"/>
      <c r="V56" s="226"/>
      <c r="W56" s="227"/>
      <c r="X56"/>
      <c r="Y56" s="142"/>
      <c r="AB56" s="142"/>
      <c r="AC56" s="142"/>
      <c r="AD56" s="142"/>
      <c r="AE56" s="142"/>
      <c r="AF56" s="142"/>
      <c r="AG56" s="142"/>
      <c r="AH56" s="142"/>
      <c r="AI56" s="161"/>
      <c r="AL56" s="142"/>
    </row>
    <row r="57" spans="1:38" x14ac:dyDescent="0.25">
      <c r="A57" s="206">
        <v>6.7</v>
      </c>
      <c r="B57">
        <v>32348</v>
      </c>
      <c r="C57" s="206">
        <v>52.5</v>
      </c>
      <c r="D57" s="206">
        <v>100.21</v>
      </c>
      <c r="E57" s="206">
        <v>97.7</v>
      </c>
      <c r="F57" s="206">
        <v>619.20000000000005</v>
      </c>
      <c r="G57" s="206">
        <v>16.27</v>
      </c>
      <c r="H57" s="207">
        <v>0.79400000000000004</v>
      </c>
      <c r="I57" s="206">
        <v>6.7</v>
      </c>
      <c r="J57" s="206"/>
      <c r="K57"/>
      <c r="L57" s="206"/>
      <c r="M57" s="82"/>
      <c r="N57" s="231"/>
      <c r="O57" s="231"/>
      <c r="P57" s="232"/>
      <c r="Q57"/>
      <c r="R57"/>
      <c r="S57" s="225"/>
      <c r="T57"/>
      <c r="U57" s="225"/>
      <c r="V57" s="226"/>
      <c r="W57" s="227"/>
      <c r="X57"/>
      <c r="Y57" s="142"/>
      <c r="AB57" s="142"/>
      <c r="AC57" s="142"/>
      <c r="AD57" s="142"/>
      <c r="AE57" s="142"/>
      <c r="AF57" s="142"/>
      <c r="AG57" s="142"/>
      <c r="AH57" s="142"/>
      <c r="AI57" s="161"/>
      <c r="AL57" s="142"/>
    </row>
    <row r="58" spans="1:38" x14ac:dyDescent="0.25">
      <c r="A58" s="206">
        <v>6.8</v>
      </c>
      <c r="B58">
        <v>32873</v>
      </c>
      <c r="C58" s="206">
        <v>52.6</v>
      </c>
      <c r="D58" s="206">
        <v>100.17</v>
      </c>
      <c r="E58" s="206">
        <v>97.57</v>
      </c>
      <c r="F58" s="206">
        <v>622.29999999999995</v>
      </c>
      <c r="G58" s="206">
        <v>16.14</v>
      </c>
      <c r="H58" s="207">
        <v>0.79500000000000004</v>
      </c>
      <c r="I58" s="206">
        <v>6.8</v>
      </c>
      <c r="J58" s="206"/>
      <c r="K58" s="184"/>
      <c r="L58" s="215"/>
      <c r="M58" s="82"/>
      <c r="N58" s="231"/>
      <c r="O58" s="231"/>
      <c r="P58" s="232"/>
      <c r="Q58"/>
      <c r="R58"/>
      <c r="S58" s="225"/>
      <c r="T58"/>
      <c r="U58" s="225"/>
      <c r="V58" s="226"/>
      <c r="W58" s="227"/>
      <c r="X58"/>
      <c r="Y58" s="142"/>
      <c r="AB58" s="142"/>
      <c r="AC58" s="142"/>
      <c r="AD58" s="142"/>
      <c r="AE58" s="142"/>
      <c r="AF58" s="142"/>
      <c r="AG58" s="142"/>
      <c r="AH58" s="142"/>
      <c r="AI58" s="161"/>
      <c r="AL58" s="142"/>
    </row>
    <row r="59" spans="1:38" x14ac:dyDescent="0.25">
      <c r="A59" s="206">
        <v>6.9</v>
      </c>
      <c r="B59">
        <v>33399</v>
      </c>
      <c r="C59" s="206">
        <v>52.7</v>
      </c>
      <c r="D59" s="206">
        <v>100.13</v>
      </c>
      <c r="E59" s="206">
        <v>97.44</v>
      </c>
      <c r="F59" s="206">
        <v>625.5</v>
      </c>
      <c r="G59" s="206">
        <v>16.03</v>
      </c>
      <c r="H59" s="207">
        <v>0.79600000000000004</v>
      </c>
      <c r="I59" s="206">
        <v>6.9</v>
      </c>
      <c r="J59" s="206"/>
      <c r="K59" s="207"/>
      <c r="L59" s="184"/>
      <c r="M59" s="82"/>
      <c r="N59" s="233"/>
      <c r="O59" s="233"/>
      <c r="P59" s="186"/>
      <c r="Q59"/>
      <c r="R59"/>
      <c r="S59" s="225"/>
      <c r="T59"/>
      <c r="U59" s="225"/>
      <c r="V59" s="226"/>
      <c r="W59" s="227"/>
      <c r="X59"/>
      <c r="Y59" s="142"/>
      <c r="AB59" s="142"/>
      <c r="AC59" s="142"/>
      <c r="AD59" s="142"/>
      <c r="AE59" s="142"/>
      <c r="AF59" s="142"/>
      <c r="AG59" s="142"/>
      <c r="AH59" s="142"/>
      <c r="AI59" s="161"/>
      <c r="AL59" s="142"/>
    </row>
    <row r="60" spans="1:38" x14ac:dyDescent="0.25">
      <c r="A60" s="206">
        <v>7</v>
      </c>
      <c r="B60">
        <v>33926</v>
      </c>
      <c r="C60" s="206">
        <v>52.8</v>
      </c>
      <c r="D60" s="206">
        <v>100.09</v>
      </c>
      <c r="E60" s="206">
        <v>97.31</v>
      </c>
      <c r="F60" s="206">
        <v>628.6</v>
      </c>
      <c r="G60" s="206">
        <v>15.91</v>
      </c>
      <c r="H60" s="207">
        <v>0.79700000000000004</v>
      </c>
      <c r="I60" s="206">
        <v>7</v>
      </c>
      <c r="J60" s="206"/>
      <c r="K60"/>
      <c r="L60"/>
      <c r="M60"/>
      <c r="N60" s="229"/>
      <c r="O60" s="229"/>
      <c r="P60" s="234"/>
      <c r="Q60"/>
      <c r="R60"/>
      <c r="S60" s="225"/>
      <c r="T60"/>
      <c r="U60" s="225"/>
      <c r="V60" s="226"/>
      <c r="W60" s="227"/>
      <c r="X60"/>
      <c r="Y60" s="142"/>
      <c r="AB60" s="142"/>
      <c r="AC60" s="142"/>
      <c r="AD60" s="142"/>
      <c r="AE60" s="142"/>
      <c r="AF60" s="142"/>
      <c r="AG60" s="142"/>
      <c r="AH60" s="142"/>
      <c r="AI60" s="161"/>
      <c r="AL60" s="142"/>
    </row>
    <row r="61" spans="1:38" x14ac:dyDescent="0.25">
      <c r="A61" s="206">
        <v>7.1</v>
      </c>
      <c r="B61">
        <v>34454</v>
      </c>
      <c r="C61" s="206">
        <v>52.8</v>
      </c>
      <c r="D61" s="206">
        <v>100.04</v>
      </c>
      <c r="E61" s="206">
        <v>97.18</v>
      </c>
      <c r="F61" s="206">
        <v>631.9</v>
      </c>
      <c r="G61" s="206">
        <v>15.8</v>
      </c>
      <c r="H61" s="207">
        <v>0.79800000000000004</v>
      </c>
      <c r="I61" s="206">
        <v>7.1</v>
      </c>
      <c r="J61" s="206"/>
      <c r="K61"/>
      <c r="L61"/>
      <c r="M61"/>
      <c r="N61" s="235"/>
      <c r="O61" s="235"/>
      <c r="P61" s="235"/>
      <c r="Q61" s="235"/>
      <c r="R61"/>
      <c r="S61" s="225"/>
      <c r="T61"/>
      <c r="U61" s="225"/>
      <c r="V61" s="226"/>
      <c r="W61" s="227"/>
      <c r="X61"/>
      <c r="Y61" s="142"/>
      <c r="AB61" s="142"/>
      <c r="AC61" s="142"/>
      <c r="AD61" s="142"/>
      <c r="AE61" s="142"/>
      <c r="AF61" s="142"/>
      <c r="AG61" s="142"/>
      <c r="AH61" s="142"/>
      <c r="AI61" s="161"/>
      <c r="AL61" s="142"/>
    </row>
    <row r="62" spans="1:38" x14ac:dyDescent="0.25">
      <c r="A62" s="206">
        <v>7.2</v>
      </c>
      <c r="B62">
        <v>34983</v>
      </c>
      <c r="C62" s="206">
        <v>52.9</v>
      </c>
      <c r="D62" s="206">
        <v>100</v>
      </c>
      <c r="E62" s="206">
        <v>97.04</v>
      </c>
      <c r="F62" s="206">
        <v>635.20000000000005</v>
      </c>
      <c r="G62" s="206">
        <v>15.7</v>
      </c>
      <c r="H62" s="207">
        <v>0.79900000000000004</v>
      </c>
      <c r="I62" s="206">
        <v>7.2</v>
      </c>
      <c r="J62" s="206"/>
      <c r="K62"/>
      <c r="N62" s="168"/>
      <c r="O62" s="168"/>
      <c r="P62" s="154"/>
      <c r="Q62" s="154"/>
      <c r="S62" s="165"/>
      <c r="U62" s="165"/>
      <c r="V62" s="166"/>
      <c r="W62" s="167"/>
      <c r="Y62" s="401"/>
      <c r="Z62" s="401"/>
      <c r="AA62" s="401"/>
      <c r="AB62" s="401"/>
      <c r="AC62" s="401"/>
      <c r="AD62" s="401"/>
      <c r="AE62" s="401"/>
      <c r="AF62" s="401"/>
      <c r="AG62" s="401"/>
      <c r="AH62" s="401"/>
      <c r="AI62" s="401"/>
      <c r="AJ62" s="401"/>
      <c r="AK62" s="401"/>
      <c r="AL62" s="401"/>
    </row>
    <row r="63" spans="1:38" x14ac:dyDescent="0.25">
      <c r="A63" s="206">
        <v>7.3</v>
      </c>
      <c r="B63">
        <v>35513</v>
      </c>
      <c r="C63" s="206">
        <v>53</v>
      </c>
      <c r="D63" s="206">
        <v>99.95</v>
      </c>
      <c r="E63" s="206">
        <v>96.91</v>
      </c>
      <c r="F63" s="206">
        <v>638.5</v>
      </c>
      <c r="G63" s="206">
        <v>15.6</v>
      </c>
      <c r="H63" s="207">
        <v>0.8</v>
      </c>
      <c r="I63" s="206">
        <v>7.3</v>
      </c>
      <c r="J63" s="206"/>
      <c r="K63"/>
      <c r="N63" s="157"/>
      <c r="O63" s="157"/>
      <c r="P63" s="177"/>
      <c r="Q63" s="177"/>
      <c r="S63" s="165"/>
      <c r="U63" s="165"/>
      <c r="V63" s="166"/>
      <c r="W63" s="167"/>
      <c r="Y63" s="143"/>
      <c r="Z63" s="143"/>
      <c r="AA63" s="143"/>
      <c r="AB63" s="143"/>
      <c r="AC63" s="143"/>
      <c r="AD63" s="143"/>
      <c r="AE63" s="143"/>
      <c r="AF63" s="143"/>
      <c r="AG63" s="143"/>
      <c r="AH63" s="143"/>
      <c r="AI63" s="143"/>
      <c r="AJ63" s="143"/>
      <c r="AK63" s="143"/>
      <c r="AL63" s="143"/>
    </row>
    <row r="64" spans="1:38" x14ac:dyDescent="0.25">
      <c r="A64" s="206">
        <v>7.4</v>
      </c>
      <c r="B64">
        <v>36044</v>
      </c>
      <c r="C64" s="206">
        <v>53.1</v>
      </c>
      <c r="D64" s="206">
        <v>99.91</v>
      </c>
      <c r="E64" s="206">
        <v>96.77</v>
      </c>
      <c r="F64" s="206">
        <v>642</v>
      </c>
      <c r="G64" s="206">
        <v>15.5</v>
      </c>
      <c r="H64" s="207">
        <v>0.80100000000000005</v>
      </c>
      <c r="I64" s="206">
        <v>7.4</v>
      </c>
      <c r="J64" s="206"/>
      <c r="K64"/>
      <c r="N64" s="168"/>
      <c r="O64" s="168"/>
      <c r="P64" s="142"/>
      <c r="S64" s="165"/>
      <c r="U64" s="165"/>
      <c r="V64" s="166"/>
      <c r="W64" s="167"/>
      <c r="Y64" s="160"/>
      <c r="Z64" s="160"/>
      <c r="AA64" s="160"/>
      <c r="AB64" s="160"/>
      <c r="AC64" s="160"/>
      <c r="AD64" s="160"/>
      <c r="AE64" s="160"/>
      <c r="AF64" s="160"/>
      <c r="AG64" s="160"/>
      <c r="AH64" s="160"/>
      <c r="AI64" s="160"/>
      <c r="AJ64" s="160"/>
      <c r="AK64" s="160"/>
      <c r="AL64" s="160"/>
    </row>
    <row r="65" spans="1:38" x14ac:dyDescent="0.25">
      <c r="A65" s="206">
        <v>7.5</v>
      </c>
      <c r="B65">
        <v>36576</v>
      </c>
      <c r="C65" s="206">
        <v>53.2</v>
      </c>
      <c r="D65" s="206">
        <v>99.86</v>
      </c>
      <c r="E65" s="206">
        <v>96.62</v>
      </c>
      <c r="F65" s="206">
        <v>645.5</v>
      </c>
      <c r="G65" s="206">
        <v>15.41</v>
      </c>
      <c r="H65" s="207">
        <v>0.80200000000000005</v>
      </c>
      <c r="I65" s="206">
        <v>7.5</v>
      </c>
      <c r="J65" s="206"/>
      <c r="K65"/>
      <c r="N65" s="153"/>
      <c r="O65" s="153"/>
      <c r="P65" s="142"/>
      <c r="S65" s="165"/>
      <c r="U65" s="165"/>
      <c r="V65" s="166"/>
      <c r="W65" s="167"/>
      <c r="Y65" s="142"/>
      <c r="AB65" s="142"/>
      <c r="AC65" s="142"/>
      <c r="AD65" s="142"/>
      <c r="AE65" s="142"/>
      <c r="AF65" s="142"/>
      <c r="AG65" s="142"/>
      <c r="AH65" s="142"/>
      <c r="AI65" s="161"/>
      <c r="AL65" s="142"/>
    </row>
    <row r="66" spans="1:38" x14ac:dyDescent="0.25">
      <c r="A66" s="206">
        <v>7.6</v>
      </c>
      <c r="B66">
        <v>37109</v>
      </c>
      <c r="C66" s="206">
        <v>53.3</v>
      </c>
      <c r="D66" s="206">
        <v>99.81</v>
      </c>
      <c r="E66" s="206">
        <v>96.47</v>
      </c>
      <c r="F66" s="206">
        <v>649</v>
      </c>
      <c r="G66" s="206">
        <v>15.32</v>
      </c>
      <c r="H66" s="207">
        <v>0.80300000000000005</v>
      </c>
      <c r="I66" s="206">
        <v>7.6</v>
      </c>
      <c r="J66" s="206"/>
      <c r="K66"/>
      <c r="N66" s="157"/>
      <c r="O66" s="157"/>
      <c r="P66" s="163"/>
      <c r="S66" s="165"/>
      <c r="U66" s="165"/>
      <c r="V66" s="166"/>
      <c r="W66" s="167"/>
      <c r="Y66" s="163"/>
      <c r="Z66" s="133"/>
      <c r="AA66" s="133"/>
      <c r="AB66" s="163"/>
      <c r="AC66" s="163"/>
      <c r="AD66" s="163"/>
      <c r="AE66" s="163"/>
      <c r="AF66" s="163"/>
      <c r="AG66" s="163"/>
      <c r="AH66" s="163"/>
      <c r="AI66" s="164"/>
      <c r="AJ66" s="133"/>
      <c r="AK66" s="133"/>
      <c r="AL66" s="163"/>
    </row>
    <row r="67" spans="1:38" x14ac:dyDescent="0.25">
      <c r="A67" s="206">
        <v>7.7</v>
      </c>
      <c r="B67">
        <v>37642</v>
      </c>
      <c r="C67" s="206">
        <v>53.4</v>
      </c>
      <c r="D67" s="206">
        <v>99.76</v>
      </c>
      <c r="E67" s="206">
        <v>96.32</v>
      </c>
      <c r="F67" s="206">
        <v>652.70000000000005</v>
      </c>
      <c r="G67" s="206">
        <v>15.23</v>
      </c>
      <c r="H67" s="207">
        <v>0.80400000000000005</v>
      </c>
      <c r="I67" s="206">
        <v>7.7</v>
      </c>
      <c r="J67" s="206"/>
      <c r="K67" s="82"/>
      <c r="L67" s="8"/>
      <c r="M67" s="8"/>
      <c r="N67" s="8"/>
      <c r="O67" s="8"/>
      <c r="P67" s="8"/>
      <c r="Q67" s="8"/>
      <c r="S67" s="165"/>
      <c r="U67" s="165"/>
      <c r="V67" s="166"/>
      <c r="W67" s="167"/>
      <c r="Y67" s="142"/>
      <c r="AB67" s="142"/>
      <c r="AC67" s="142"/>
      <c r="AD67" s="142"/>
      <c r="AE67" s="142"/>
      <c r="AF67" s="142"/>
      <c r="AG67" s="142"/>
      <c r="AH67" s="142"/>
      <c r="AI67" s="161"/>
      <c r="AL67" s="142"/>
    </row>
    <row r="68" spans="1:38" x14ac:dyDescent="0.25">
      <c r="A68" s="206">
        <v>7.8</v>
      </c>
      <c r="B68">
        <v>38177</v>
      </c>
      <c r="C68" s="206">
        <v>53.5</v>
      </c>
      <c r="D68" s="206">
        <v>99.71</v>
      </c>
      <c r="E68" s="206">
        <v>96.16</v>
      </c>
      <c r="F68" s="206">
        <v>656.5</v>
      </c>
      <c r="G68" s="206">
        <v>15.15</v>
      </c>
      <c r="H68" s="207">
        <v>0.80500000000000005</v>
      </c>
      <c r="I68" s="206">
        <v>7.8</v>
      </c>
      <c r="J68" s="206"/>
      <c r="K68" s="82"/>
      <c r="L68" s="8"/>
      <c r="M68" s="8"/>
      <c r="N68" s="178"/>
      <c r="O68" s="178"/>
      <c r="P68" s="178"/>
      <c r="Q68" s="178"/>
      <c r="S68" s="165"/>
      <c r="U68" s="165"/>
      <c r="V68" s="166"/>
      <c r="W68" s="167"/>
      <c r="Y68" s="142"/>
      <c r="AB68" s="142"/>
      <c r="AC68" s="142"/>
      <c r="AD68" s="142"/>
      <c r="AE68" s="142"/>
      <c r="AF68" s="142"/>
      <c r="AG68" s="142"/>
      <c r="AH68" s="142"/>
      <c r="AI68" s="161"/>
      <c r="AL68" s="142"/>
    </row>
    <row r="69" spans="1:38" x14ac:dyDescent="0.25">
      <c r="A69" s="206">
        <v>7.9</v>
      </c>
      <c r="B69">
        <v>38713</v>
      </c>
      <c r="C69" s="206">
        <v>53.7</v>
      </c>
      <c r="D69" s="206">
        <v>99.66</v>
      </c>
      <c r="E69" s="206">
        <v>95.99</v>
      </c>
      <c r="F69" s="206">
        <v>660.4</v>
      </c>
      <c r="G69" s="206">
        <v>15.07</v>
      </c>
      <c r="H69" s="207">
        <v>0.80600000000000005</v>
      </c>
      <c r="I69" s="206">
        <v>7.9</v>
      </c>
      <c r="J69" s="206"/>
      <c r="K69" s="82"/>
      <c r="L69" s="8"/>
      <c r="M69" s="8"/>
      <c r="N69" s="179"/>
      <c r="O69" s="147"/>
      <c r="P69" s="133"/>
      <c r="Q69" s="133"/>
      <c r="S69" s="165"/>
      <c r="U69" s="165"/>
      <c r="V69" s="166"/>
      <c r="W69" s="167"/>
      <c r="Y69" s="142"/>
      <c r="AB69" s="142"/>
      <c r="AC69" s="142"/>
      <c r="AD69" s="142"/>
      <c r="AE69" s="142"/>
      <c r="AF69" s="142"/>
      <c r="AG69" s="142"/>
      <c r="AH69" s="142"/>
      <c r="AI69" s="161"/>
      <c r="AL69" s="142"/>
    </row>
    <row r="70" spans="1:38" x14ac:dyDescent="0.25">
      <c r="A70" s="206">
        <v>8</v>
      </c>
      <c r="B70">
        <v>39251</v>
      </c>
      <c r="C70" s="206">
        <v>53.8</v>
      </c>
      <c r="D70" s="206">
        <v>99.61</v>
      </c>
      <c r="E70" s="206">
        <v>95.83</v>
      </c>
      <c r="F70" s="206">
        <v>664.4</v>
      </c>
      <c r="G70" s="206">
        <v>15</v>
      </c>
      <c r="H70" s="207">
        <v>0.80700000000000005</v>
      </c>
      <c r="I70" s="206">
        <v>8</v>
      </c>
      <c r="J70" s="206"/>
      <c r="K70" s="82"/>
      <c r="L70" s="8"/>
      <c r="M70" s="8"/>
      <c r="N70" s="168"/>
      <c r="O70" s="169"/>
      <c r="Y70" s="142"/>
      <c r="AB70" s="142"/>
      <c r="AC70" s="142"/>
      <c r="AD70" s="142"/>
      <c r="AE70" s="142"/>
      <c r="AF70" s="142"/>
      <c r="AG70" s="142"/>
      <c r="AH70" s="142"/>
      <c r="AI70" s="161"/>
      <c r="AL70" s="142"/>
    </row>
    <row r="71" spans="1:38" x14ac:dyDescent="0.25">
      <c r="A71" s="206">
        <v>8.1</v>
      </c>
      <c r="B71">
        <v>39789</v>
      </c>
      <c r="C71" s="206">
        <v>53.9</v>
      </c>
      <c r="D71" s="206">
        <v>99.56</v>
      </c>
      <c r="E71" s="206">
        <v>95.65</v>
      </c>
      <c r="F71" s="206">
        <v>668.5</v>
      </c>
      <c r="G71" s="206">
        <v>14.93</v>
      </c>
      <c r="H71" s="207">
        <v>0.80800000000000005</v>
      </c>
      <c r="I71" s="206">
        <v>8.1</v>
      </c>
      <c r="J71" s="206"/>
      <c r="K71" s="82"/>
      <c r="L71" s="8"/>
      <c r="M71" s="8"/>
      <c r="N71" s="168"/>
      <c r="O71" s="169"/>
      <c r="Y71" s="142"/>
      <c r="AB71" s="142"/>
      <c r="AC71" s="142"/>
      <c r="AD71" s="142"/>
      <c r="AE71" s="142"/>
      <c r="AF71" s="142"/>
      <c r="AG71" s="142"/>
      <c r="AH71" s="142"/>
      <c r="AI71" s="161"/>
      <c r="AL71" s="142"/>
    </row>
    <row r="72" spans="1:38" x14ac:dyDescent="0.25">
      <c r="A72" s="206">
        <v>8.1999999999999993</v>
      </c>
      <c r="B72">
        <v>40328</v>
      </c>
      <c r="C72" s="206">
        <v>54</v>
      </c>
      <c r="D72" s="206">
        <v>99.51</v>
      </c>
      <c r="E72" s="206">
        <v>95.48</v>
      </c>
      <c r="F72" s="206">
        <v>672.7</v>
      </c>
      <c r="G72" s="206">
        <v>14.86</v>
      </c>
      <c r="H72" s="207">
        <v>0.80900000000000005</v>
      </c>
      <c r="I72" s="206">
        <v>8.1999999999999993</v>
      </c>
      <c r="J72" s="206"/>
      <c r="K72" s="82"/>
      <c r="L72" s="8"/>
      <c r="M72" s="8"/>
      <c r="N72" s="168"/>
      <c r="O72" s="169"/>
      <c r="Y72" s="142"/>
      <c r="AB72" s="142"/>
      <c r="AC72" s="142"/>
      <c r="AD72" s="142"/>
      <c r="AE72" s="142"/>
      <c r="AF72" s="142"/>
      <c r="AG72" s="142"/>
      <c r="AH72" s="142"/>
      <c r="AI72" s="161"/>
      <c r="AL72" s="142"/>
    </row>
    <row r="73" spans="1:38" x14ac:dyDescent="0.25">
      <c r="A73" s="206">
        <v>8.3000000000000007</v>
      </c>
      <c r="B73">
        <v>40869</v>
      </c>
      <c r="C73" s="206">
        <v>54.1</v>
      </c>
      <c r="D73" s="206">
        <v>99.45</v>
      </c>
      <c r="E73" s="206">
        <v>95.3</v>
      </c>
      <c r="F73" s="206">
        <v>676.8</v>
      </c>
      <c r="G73" s="206">
        <v>14.79</v>
      </c>
      <c r="H73" s="207">
        <v>0.81</v>
      </c>
      <c r="I73" s="206">
        <v>8.3000000000000007</v>
      </c>
      <c r="J73" s="206"/>
      <c r="K73" s="82"/>
      <c r="L73" s="8"/>
      <c r="M73" s="8"/>
      <c r="N73" s="168"/>
      <c r="O73" s="148"/>
      <c r="P73" s="168"/>
      <c r="Q73" s="142"/>
      <c r="Y73" s="142"/>
      <c r="AB73" s="142"/>
      <c r="AC73" s="142"/>
      <c r="AD73" s="142"/>
      <c r="AE73" s="142"/>
      <c r="AF73" s="142"/>
      <c r="AG73" s="142"/>
      <c r="AH73" s="142"/>
      <c r="AI73" s="161"/>
      <c r="AL73" s="142"/>
    </row>
    <row r="74" spans="1:38" x14ac:dyDescent="0.25">
      <c r="A74" s="206">
        <v>8.4</v>
      </c>
      <c r="B74">
        <v>41410</v>
      </c>
      <c r="C74" s="206">
        <v>54.2</v>
      </c>
      <c r="D74" s="206">
        <v>99.4</v>
      </c>
      <c r="E74" s="206">
        <v>95.13</v>
      </c>
      <c r="F74" s="206">
        <v>680.9</v>
      </c>
      <c r="G74" s="206">
        <v>14.73</v>
      </c>
      <c r="H74" s="207">
        <v>0.81100000000000005</v>
      </c>
      <c r="I74" s="206">
        <v>8.4</v>
      </c>
      <c r="J74" s="206"/>
      <c r="K74" s="82"/>
      <c r="L74" s="8"/>
      <c r="M74" s="8"/>
      <c r="N74" s="168"/>
      <c r="Y74" s="142"/>
      <c r="AB74" s="142"/>
      <c r="AC74" s="142"/>
      <c r="AD74" s="142"/>
      <c r="AE74" s="142"/>
      <c r="AF74" s="142"/>
      <c r="AG74" s="142"/>
      <c r="AH74" s="142"/>
      <c r="AI74" s="161"/>
      <c r="AL74" s="142"/>
    </row>
    <row r="75" spans="1:38" x14ac:dyDescent="0.25">
      <c r="A75" s="206">
        <v>8.5</v>
      </c>
      <c r="B75">
        <v>41953</v>
      </c>
      <c r="C75" s="206">
        <v>54.3</v>
      </c>
      <c r="D75" s="206">
        <v>99.34</v>
      </c>
      <c r="E75" s="206">
        <v>94.95</v>
      </c>
      <c r="F75" s="206">
        <v>685</v>
      </c>
      <c r="G75" s="206">
        <v>14.67</v>
      </c>
      <c r="H75" s="207">
        <v>0.81200000000000006</v>
      </c>
      <c r="I75" s="206">
        <v>8.5</v>
      </c>
      <c r="J75" s="206"/>
      <c r="K75" s="82"/>
      <c r="L75" s="8"/>
      <c r="M75" s="8"/>
      <c r="N75" s="168"/>
      <c r="O75" s="170"/>
      <c r="P75" s="170"/>
      <c r="Y75" s="142"/>
      <c r="AB75" s="142"/>
      <c r="AC75" s="142"/>
      <c r="AD75" s="142"/>
      <c r="AE75" s="142"/>
      <c r="AF75" s="142"/>
      <c r="AG75" s="142"/>
      <c r="AH75" s="142"/>
      <c r="AI75" s="161"/>
      <c r="AL75" s="142"/>
    </row>
    <row r="76" spans="1:38" x14ac:dyDescent="0.25">
      <c r="A76" s="206">
        <v>8.6</v>
      </c>
      <c r="B76">
        <v>42496</v>
      </c>
      <c r="C76" s="206">
        <v>54.4</v>
      </c>
      <c r="D76" s="206">
        <v>99.28</v>
      </c>
      <c r="E76" s="206">
        <v>94.77</v>
      </c>
      <c r="F76" s="206">
        <v>689.2</v>
      </c>
      <c r="G76" s="206">
        <v>14.61</v>
      </c>
      <c r="H76" s="207">
        <v>0.81299999999999994</v>
      </c>
      <c r="I76" s="206">
        <v>8.6</v>
      </c>
      <c r="J76" s="206"/>
      <c r="K76" s="82"/>
      <c r="L76" s="8"/>
      <c r="M76" s="8"/>
      <c r="N76" s="168"/>
      <c r="O76" s="170"/>
      <c r="P76" s="170"/>
      <c r="Y76" s="163"/>
      <c r="Z76" s="133"/>
      <c r="AA76" s="133"/>
      <c r="AB76" s="163"/>
      <c r="AC76" s="163"/>
      <c r="AD76" s="163"/>
      <c r="AE76" s="163"/>
      <c r="AF76" s="163"/>
      <c r="AG76" s="163"/>
      <c r="AH76" s="163"/>
      <c r="AI76" s="164"/>
      <c r="AJ76" s="133"/>
      <c r="AK76" s="133"/>
      <c r="AL76" s="163"/>
    </row>
    <row r="77" spans="1:38" x14ac:dyDescent="0.25">
      <c r="A77" s="206">
        <v>8.6999999999999993</v>
      </c>
      <c r="B77">
        <v>43041</v>
      </c>
      <c r="C77" s="206">
        <v>54.5</v>
      </c>
      <c r="D77" s="206">
        <v>99.23</v>
      </c>
      <c r="E77" s="206">
        <v>94.65</v>
      </c>
      <c r="F77" s="206">
        <v>691.6</v>
      </c>
      <c r="G77" s="206">
        <v>14.55</v>
      </c>
      <c r="H77" s="207">
        <v>0.81399999999999995</v>
      </c>
      <c r="I77" s="206">
        <v>8.6999999999999993</v>
      </c>
      <c r="J77" s="206"/>
      <c r="K77" s="82"/>
      <c r="L77" s="8"/>
      <c r="M77" s="8"/>
      <c r="N77" s="168"/>
      <c r="O77" s="170"/>
      <c r="P77" s="170"/>
      <c r="Y77" s="142"/>
      <c r="AB77" s="142"/>
      <c r="AC77" s="142"/>
      <c r="AD77" s="142"/>
      <c r="AE77" s="142"/>
      <c r="AF77" s="142"/>
      <c r="AG77" s="142"/>
      <c r="AH77" s="142"/>
      <c r="AI77" s="161"/>
      <c r="AL77" s="142"/>
    </row>
    <row r="78" spans="1:38" x14ac:dyDescent="0.25">
      <c r="A78" s="206">
        <v>8.8000000000000007</v>
      </c>
      <c r="B78">
        <v>43587</v>
      </c>
      <c r="C78" s="206">
        <v>54.8</v>
      </c>
      <c r="D78" s="206">
        <v>99.17</v>
      </c>
      <c r="E78" s="206">
        <v>94.14</v>
      </c>
      <c r="F78" s="206">
        <v>704.8</v>
      </c>
      <c r="G78" s="206">
        <v>14.5</v>
      </c>
      <c r="H78" s="207">
        <v>0.81499999999999995</v>
      </c>
      <c r="I78" s="206">
        <v>8.8000000000000007</v>
      </c>
      <c r="J78" s="206"/>
      <c r="K78" s="82"/>
      <c r="L78" s="8"/>
      <c r="M78" s="8"/>
      <c r="N78" s="157"/>
      <c r="O78" s="157"/>
      <c r="P78" s="171"/>
      <c r="Y78" s="142"/>
      <c r="AB78" s="142"/>
      <c r="AC78" s="142"/>
      <c r="AD78" s="142"/>
      <c r="AE78" s="142"/>
      <c r="AF78" s="142"/>
      <c r="AG78" s="142"/>
      <c r="AH78" s="142"/>
      <c r="AI78" s="161"/>
      <c r="AL78" s="142"/>
    </row>
    <row r="79" spans="1:38" x14ac:dyDescent="0.25">
      <c r="A79" s="206">
        <v>8.9</v>
      </c>
      <c r="B79">
        <v>44136</v>
      </c>
      <c r="C79" s="206">
        <v>54.9</v>
      </c>
      <c r="D79" s="206">
        <v>99.1</v>
      </c>
      <c r="E79" s="206">
        <v>93.96</v>
      </c>
      <c r="F79" s="206">
        <v>708.9</v>
      </c>
      <c r="G79" s="206">
        <v>14.45</v>
      </c>
      <c r="H79" s="207">
        <v>0.81599999999999995</v>
      </c>
      <c r="I79" s="206">
        <v>8.9</v>
      </c>
      <c r="J79" s="206"/>
      <c r="K79" s="82"/>
      <c r="L79" s="8"/>
      <c r="M79" s="8"/>
      <c r="Y79" s="142"/>
      <c r="AB79" s="142"/>
      <c r="AC79" s="142"/>
      <c r="AD79" s="142"/>
      <c r="AE79" s="142"/>
      <c r="AF79" s="142"/>
      <c r="AG79" s="142"/>
      <c r="AH79" s="142"/>
      <c r="AI79" s="161"/>
      <c r="AL79" s="142"/>
    </row>
    <row r="80" spans="1:38" x14ac:dyDescent="0.25">
      <c r="A80" s="206">
        <v>9</v>
      </c>
      <c r="B80">
        <v>44685</v>
      </c>
      <c r="C80" s="206">
        <v>55</v>
      </c>
      <c r="D80" s="206">
        <v>99.04</v>
      </c>
      <c r="E80" s="206">
        <v>93.78</v>
      </c>
      <c r="F80" s="206">
        <v>712.9</v>
      </c>
      <c r="G80" s="206">
        <v>14.4</v>
      </c>
      <c r="H80" s="207">
        <v>0.81699999999999995</v>
      </c>
      <c r="I80" s="206">
        <v>9</v>
      </c>
      <c r="J80" s="206"/>
      <c r="K80" s="82"/>
      <c r="L80" s="8"/>
      <c r="M80" s="8"/>
      <c r="N80" s="172"/>
      <c r="O80" s="172"/>
      <c r="P80" s="173"/>
      <c r="Y80" s="142"/>
      <c r="AB80" s="142"/>
      <c r="AC80" s="142"/>
      <c r="AD80" s="142"/>
      <c r="AE80" s="142"/>
      <c r="AF80" s="142"/>
      <c r="AG80" s="142"/>
      <c r="AH80" s="142"/>
      <c r="AI80" s="161"/>
      <c r="AL80" s="142"/>
    </row>
    <row r="81" spans="1:38" x14ac:dyDescent="0.25">
      <c r="A81" s="206">
        <v>9.1</v>
      </c>
      <c r="B81">
        <v>45236</v>
      </c>
      <c r="C81" s="206">
        <v>55.1</v>
      </c>
      <c r="D81" s="206">
        <v>98.97</v>
      </c>
      <c r="E81" s="206">
        <v>93.6</v>
      </c>
      <c r="F81" s="206">
        <v>716.8</v>
      </c>
      <c r="G81" s="206">
        <v>14.35</v>
      </c>
      <c r="H81" s="207">
        <v>0.81799999999999995</v>
      </c>
      <c r="I81" s="206">
        <v>9.1</v>
      </c>
      <c r="J81" s="206"/>
      <c r="K81" s="82"/>
      <c r="L81" s="8"/>
      <c r="M81" s="8"/>
      <c r="N81" s="172"/>
      <c r="O81" s="172"/>
      <c r="P81" s="173"/>
      <c r="Y81" s="142"/>
      <c r="AB81" s="142"/>
      <c r="AC81" s="142"/>
      <c r="AD81" s="142"/>
      <c r="AE81" s="142"/>
      <c r="AF81" s="142"/>
      <c r="AG81" s="142"/>
      <c r="AH81" s="142"/>
      <c r="AI81" s="161"/>
      <c r="AL81" s="142"/>
    </row>
    <row r="82" spans="1:38" x14ac:dyDescent="0.25">
      <c r="A82" s="206">
        <v>9.1999999999999993</v>
      </c>
      <c r="B82">
        <v>45788</v>
      </c>
      <c r="C82" s="206">
        <v>55.2</v>
      </c>
      <c r="D82" s="206">
        <v>98.91</v>
      </c>
      <c r="E82" s="206">
        <v>93.42</v>
      </c>
      <c r="F82" s="206">
        <v>720.5</v>
      </c>
      <c r="G82" s="206">
        <v>14.31</v>
      </c>
      <c r="H82" s="207">
        <v>0.81899999999999995</v>
      </c>
      <c r="I82" s="206">
        <v>9.1999999999999993</v>
      </c>
      <c r="J82" s="206"/>
      <c r="K82" s="82"/>
      <c r="L82" s="8"/>
      <c r="M82" s="8"/>
      <c r="N82" s="174"/>
      <c r="O82" s="174"/>
      <c r="P82" s="175"/>
      <c r="Y82" s="142"/>
      <c r="AB82" s="142"/>
      <c r="AC82" s="142"/>
      <c r="AD82" s="142"/>
      <c r="AE82" s="142"/>
      <c r="AF82" s="142"/>
      <c r="AG82" s="142"/>
      <c r="AH82" s="142"/>
      <c r="AI82" s="161"/>
      <c r="AL82" s="142"/>
    </row>
    <row r="83" spans="1:38" x14ac:dyDescent="0.25">
      <c r="A83" s="206">
        <v>9.3000000000000007</v>
      </c>
      <c r="B83">
        <v>46340</v>
      </c>
      <c r="C83" s="206">
        <v>55.3</v>
      </c>
      <c r="D83" s="206">
        <v>98.84</v>
      </c>
      <c r="E83" s="206">
        <v>93.25</v>
      </c>
      <c r="F83" s="206">
        <v>724.2</v>
      </c>
      <c r="G83" s="206">
        <v>14.27</v>
      </c>
      <c r="H83" s="207">
        <v>0.82</v>
      </c>
      <c r="I83" s="206">
        <v>9.3000000000000007</v>
      </c>
      <c r="J83" s="206"/>
      <c r="K83" s="82"/>
      <c r="L83" s="8"/>
      <c r="M83" s="8"/>
      <c r="N83" s="168"/>
      <c r="O83" s="168"/>
      <c r="P83" s="176"/>
      <c r="Y83" s="142"/>
      <c r="AB83" s="142"/>
      <c r="AC83" s="142"/>
      <c r="AD83" s="142"/>
      <c r="AE83" s="142"/>
      <c r="AF83" s="142"/>
      <c r="AG83" s="142"/>
      <c r="AH83" s="142"/>
      <c r="AI83" s="161"/>
      <c r="AL83" s="142"/>
    </row>
    <row r="84" spans="1:38" x14ac:dyDescent="0.25">
      <c r="A84" s="206">
        <v>9.4</v>
      </c>
      <c r="B84">
        <v>46894</v>
      </c>
      <c r="C84" s="206">
        <v>55.4</v>
      </c>
      <c r="D84" s="206">
        <v>98.77</v>
      </c>
      <c r="E84" s="206">
        <v>93.08</v>
      </c>
      <c r="F84" s="206">
        <v>727.7</v>
      </c>
      <c r="G84" s="206">
        <v>14.23</v>
      </c>
      <c r="H84" s="207">
        <v>0.82099999999999995</v>
      </c>
      <c r="I84" s="206">
        <v>9.4</v>
      </c>
      <c r="J84" s="206"/>
      <c r="K84" s="82"/>
      <c r="L84" s="8"/>
      <c r="M84" s="8"/>
      <c r="N84" s="140"/>
      <c r="O84" s="140"/>
      <c r="P84" s="140"/>
      <c r="Q84" s="140"/>
      <c r="Y84" s="142"/>
      <c r="AB84" s="142"/>
      <c r="AC84" s="142"/>
      <c r="AD84" s="142"/>
      <c r="AE84" s="142"/>
      <c r="AF84" s="142"/>
      <c r="AG84" s="142"/>
      <c r="AH84" s="142"/>
      <c r="AI84" s="161"/>
      <c r="AL84" s="142"/>
    </row>
    <row r="85" spans="1:38" x14ac:dyDescent="0.25">
      <c r="A85" s="206">
        <v>9.5</v>
      </c>
      <c r="B85">
        <v>47448</v>
      </c>
      <c r="C85" s="206">
        <v>55.5</v>
      </c>
      <c r="D85" s="206">
        <v>98.71</v>
      </c>
      <c r="E85" s="206">
        <v>92.91</v>
      </c>
      <c r="F85" s="206">
        <v>731</v>
      </c>
      <c r="G85" s="206">
        <v>14.19</v>
      </c>
      <c r="H85" s="207">
        <v>0.82199999999999995</v>
      </c>
      <c r="I85" s="206">
        <v>9.5</v>
      </c>
      <c r="J85" s="206"/>
      <c r="K85" s="82"/>
      <c r="L85" s="8"/>
      <c r="M85" s="8"/>
      <c r="N85" s="405"/>
      <c r="O85" s="405"/>
      <c r="P85" s="403"/>
      <c r="Q85" s="403"/>
      <c r="Y85" s="142"/>
      <c r="AB85" s="142"/>
      <c r="AC85" s="142"/>
      <c r="AD85" s="142"/>
      <c r="AE85" s="142"/>
      <c r="AF85" s="142"/>
      <c r="AG85" s="142"/>
      <c r="AH85" s="142"/>
      <c r="AI85" s="161"/>
      <c r="AL85" s="142"/>
    </row>
    <row r="86" spans="1:38" x14ac:dyDescent="0.25">
      <c r="A86" s="206">
        <v>9.6</v>
      </c>
      <c r="B86">
        <v>48003</v>
      </c>
      <c r="C86" s="206">
        <v>55.6</v>
      </c>
      <c r="D86" s="206">
        <v>98.64</v>
      </c>
      <c r="E86" s="206">
        <v>92.74</v>
      </c>
      <c r="F86" s="206">
        <v>734.4</v>
      </c>
      <c r="G86" s="206">
        <v>14.15</v>
      </c>
      <c r="H86" s="207">
        <v>0.82299999999999995</v>
      </c>
      <c r="I86" s="206">
        <v>9.6</v>
      </c>
      <c r="J86" s="206"/>
      <c r="K86" s="82"/>
      <c r="L86" s="8"/>
      <c r="M86" s="8"/>
      <c r="N86" s="406"/>
      <c r="O86" s="406"/>
      <c r="P86" s="404"/>
      <c r="Q86" s="404"/>
      <c r="Y86" s="163"/>
      <c r="Z86" s="133"/>
      <c r="AA86" s="133"/>
      <c r="AB86" s="163"/>
      <c r="AC86" s="163"/>
      <c r="AD86" s="163"/>
      <c r="AE86" s="163"/>
      <c r="AF86" s="163"/>
      <c r="AG86" s="163"/>
      <c r="AH86" s="163"/>
      <c r="AI86" s="164"/>
      <c r="AJ86" s="133"/>
      <c r="AK86" s="133"/>
      <c r="AL86" s="163"/>
    </row>
    <row r="87" spans="1:38" x14ac:dyDescent="0.25">
      <c r="A87" s="206">
        <v>9.6999999999999993</v>
      </c>
      <c r="B87">
        <v>48559</v>
      </c>
      <c r="C87" s="206">
        <v>55.7</v>
      </c>
      <c r="D87" s="206">
        <v>98.57</v>
      </c>
      <c r="E87" s="206">
        <v>92.58</v>
      </c>
      <c r="F87" s="206">
        <v>737.6</v>
      </c>
      <c r="G87" s="206">
        <v>14.12</v>
      </c>
      <c r="H87" s="207">
        <v>0.82399999999999995</v>
      </c>
      <c r="I87" s="206">
        <v>9.6999999999999993</v>
      </c>
      <c r="J87" s="206"/>
      <c r="K87" s="82"/>
      <c r="L87" s="8"/>
      <c r="M87" s="8"/>
      <c r="N87" s="411"/>
      <c r="O87" s="411"/>
      <c r="P87" s="180"/>
      <c r="Y87" s="142"/>
      <c r="AB87" s="142"/>
      <c r="AC87" s="142"/>
      <c r="AD87" s="142"/>
      <c r="AE87" s="142"/>
      <c r="AF87" s="142"/>
      <c r="AG87" s="142"/>
      <c r="AH87" s="142"/>
      <c r="AI87" s="161"/>
      <c r="AL87" s="142"/>
    </row>
    <row r="88" spans="1:38" x14ac:dyDescent="0.25">
      <c r="A88" s="206">
        <v>9.8000000000000007</v>
      </c>
      <c r="B88">
        <v>49116</v>
      </c>
      <c r="C88" s="206">
        <v>55.7</v>
      </c>
      <c r="D88" s="206">
        <v>98.5</v>
      </c>
      <c r="E88" s="206">
        <v>92.41</v>
      </c>
      <c r="F88" s="206">
        <v>740.6</v>
      </c>
      <c r="G88" s="206">
        <v>14.08</v>
      </c>
      <c r="H88" s="207">
        <v>0.82499999999999996</v>
      </c>
      <c r="I88" s="206">
        <v>9.8000000000000007</v>
      </c>
      <c r="J88" s="206"/>
      <c r="K88" s="82"/>
      <c r="L88" s="8"/>
      <c r="M88" s="8"/>
      <c r="N88" s="412"/>
      <c r="O88" s="412"/>
      <c r="P88" s="142"/>
      <c r="Y88" s="142"/>
      <c r="AB88" s="142"/>
      <c r="AC88" s="142"/>
      <c r="AD88" s="142"/>
      <c r="AE88" s="142"/>
      <c r="AF88" s="142"/>
      <c r="AG88" s="142"/>
      <c r="AH88" s="142"/>
      <c r="AI88" s="161"/>
      <c r="AL88" s="142"/>
    </row>
    <row r="89" spans="1:38" x14ac:dyDescent="0.25">
      <c r="A89" s="206">
        <v>9.9</v>
      </c>
      <c r="B89">
        <v>49674</v>
      </c>
      <c r="C89" s="206">
        <v>55.8</v>
      </c>
      <c r="D89" s="206">
        <v>98.43</v>
      </c>
      <c r="E89" s="206">
        <v>92.25</v>
      </c>
      <c r="F89" s="206">
        <v>743.6</v>
      </c>
      <c r="G89" s="206">
        <v>14.05</v>
      </c>
      <c r="H89" s="207">
        <v>0.82599999999999996</v>
      </c>
      <c r="I89" s="206">
        <v>9.9</v>
      </c>
      <c r="J89" s="206"/>
      <c r="K89" s="82"/>
      <c r="L89" s="8"/>
      <c r="M89" s="8"/>
      <c r="N89" s="406"/>
      <c r="O89" s="406"/>
      <c r="P89" s="163"/>
      <c r="Y89" s="142"/>
      <c r="AB89" s="142"/>
      <c r="AC89" s="142"/>
      <c r="AD89" s="142"/>
      <c r="AE89" s="142"/>
      <c r="AF89" s="142"/>
      <c r="AG89" s="142"/>
      <c r="AH89" s="142"/>
      <c r="AI89" s="161"/>
      <c r="AL89" s="142"/>
    </row>
    <row r="90" spans="1:38" x14ac:dyDescent="0.25">
      <c r="A90" s="206">
        <v>10</v>
      </c>
      <c r="B90">
        <v>50232</v>
      </c>
      <c r="C90" s="206">
        <v>55.9</v>
      </c>
      <c r="D90" s="206">
        <v>98.36</v>
      </c>
      <c r="E90" s="206">
        <v>92.09</v>
      </c>
      <c r="F90" s="206">
        <v>746.5</v>
      </c>
      <c r="G90" s="206">
        <v>14.02</v>
      </c>
      <c r="H90" s="207">
        <v>0.82699999999999996</v>
      </c>
      <c r="I90" s="206">
        <v>10</v>
      </c>
      <c r="J90" s="206"/>
      <c r="K90"/>
      <c r="Y90" s="142"/>
      <c r="AB90" s="142"/>
      <c r="AC90" s="142"/>
      <c r="AD90" s="142"/>
      <c r="AE90" s="142"/>
      <c r="AF90" s="142"/>
      <c r="AG90" s="142"/>
      <c r="AH90" s="142"/>
      <c r="AI90" s="161"/>
      <c r="AL90" s="142"/>
    </row>
    <row r="91" spans="1:38" x14ac:dyDescent="0.25">
      <c r="A91" s="206">
        <v>10.1</v>
      </c>
      <c r="B91">
        <v>50792</v>
      </c>
      <c r="C91" s="206">
        <v>56</v>
      </c>
      <c r="D91" s="206">
        <v>98.29</v>
      </c>
      <c r="E91" s="206">
        <v>91.94</v>
      </c>
      <c r="F91" s="206">
        <v>749.3</v>
      </c>
      <c r="G91" s="206">
        <v>13.99</v>
      </c>
      <c r="H91" s="207">
        <v>0.82799999999999996</v>
      </c>
      <c r="I91" s="206">
        <v>10.1</v>
      </c>
      <c r="J91" s="206"/>
      <c r="K91"/>
      <c r="Y91" s="142"/>
      <c r="AB91" s="142"/>
      <c r="AC91" s="142"/>
      <c r="AD91" s="142"/>
      <c r="AE91" s="142"/>
      <c r="AF91" s="142"/>
      <c r="AG91" s="142"/>
      <c r="AH91" s="142"/>
      <c r="AI91" s="161"/>
      <c r="AL91" s="142"/>
    </row>
    <row r="92" spans="1:38" x14ac:dyDescent="0.25">
      <c r="A92" s="206">
        <v>10.199999999999999</v>
      </c>
      <c r="B92">
        <v>51352</v>
      </c>
      <c r="C92" s="206">
        <v>56</v>
      </c>
      <c r="D92" s="206">
        <v>98.22</v>
      </c>
      <c r="E92" s="206">
        <v>91.78</v>
      </c>
      <c r="F92" s="206">
        <v>751.9</v>
      </c>
      <c r="G92" s="206">
        <v>13.96</v>
      </c>
      <c r="H92" s="207">
        <v>0.82899999999999996</v>
      </c>
      <c r="I92" s="206">
        <v>10.199999999999999</v>
      </c>
      <c r="J92" s="206"/>
      <c r="K92"/>
      <c r="Y92" s="142"/>
      <c r="AB92" s="142"/>
      <c r="AC92" s="142"/>
      <c r="AD92" s="142"/>
      <c r="AE92" s="142"/>
      <c r="AF92" s="142"/>
      <c r="AG92" s="142"/>
      <c r="AH92" s="142"/>
      <c r="AI92" s="161"/>
      <c r="AL92" s="142"/>
    </row>
    <row r="93" spans="1:38" x14ac:dyDescent="0.25">
      <c r="A93" s="206">
        <v>10.3</v>
      </c>
      <c r="B93">
        <v>51913</v>
      </c>
      <c r="C93" s="206">
        <v>56.1</v>
      </c>
      <c r="D93" s="206">
        <v>98.15</v>
      </c>
      <c r="E93" s="206">
        <v>91.63</v>
      </c>
      <c r="F93" s="206">
        <v>754.4</v>
      </c>
      <c r="G93" s="206">
        <v>13.94</v>
      </c>
      <c r="H93" s="207">
        <v>0.83</v>
      </c>
      <c r="I93" s="206">
        <v>10.3</v>
      </c>
      <c r="J93" s="206"/>
      <c r="K93"/>
      <c r="Y93" s="142"/>
      <c r="AB93" s="142"/>
      <c r="AC93" s="142"/>
      <c r="AD93" s="142"/>
      <c r="AE93" s="142"/>
      <c r="AF93" s="142"/>
      <c r="AG93" s="142"/>
      <c r="AH93" s="142"/>
      <c r="AI93" s="161"/>
      <c r="AL93" s="142"/>
    </row>
    <row r="94" spans="1:38" x14ac:dyDescent="0.25">
      <c r="A94" s="206">
        <v>10.4</v>
      </c>
      <c r="B94">
        <v>52474</v>
      </c>
      <c r="C94" s="206">
        <v>56.2</v>
      </c>
      <c r="D94" s="206">
        <v>98.08</v>
      </c>
      <c r="E94" s="206">
        <v>91.47</v>
      </c>
      <c r="F94" s="206">
        <v>756.8</v>
      </c>
      <c r="G94" s="206">
        <v>13.91</v>
      </c>
      <c r="H94" s="207">
        <v>0.83</v>
      </c>
      <c r="I94" s="206">
        <v>10.4</v>
      </c>
      <c r="J94" s="206"/>
      <c r="K94"/>
      <c r="Y94" s="142"/>
      <c r="AB94" s="142"/>
      <c r="AC94" s="142"/>
      <c r="AD94" s="142"/>
      <c r="AE94" s="142"/>
      <c r="AF94" s="142"/>
      <c r="AG94" s="142"/>
      <c r="AH94" s="142"/>
      <c r="AI94" s="161"/>
      <c r="AL94" s="142"/>
    </row>
    <row r="95" spans="1:38" x14ac:dyDescent="0.25">
      <c r="A95" s="206">
        <v>10.5</v>
      </c>
      <c r="B95">
        <v>53036</v>
      </c>
      <c r="C95" s="206">
        <v>56.2</v>
      </c>
      <c r="D95" s="206">
        <v>98.01</v>
      </c>
      <c r="E95" s="206">
        <v>91.31</v>
      </c>
      <c r="F95" s="206">
        <v>758.9</v>
      </c>
      <c r="G95" s="206">
        <v>13.89</v>
      </c>
      <c r="H95" s="207">
        <v>0.83099999999999996</v>
      </c>
      <c r="I95" s="206">
        <v>10.5</v>
      </c>
      <c r="J95" s="206"/>
      <c r="K95"/>
      <c r="Y95" s="142"/>
      <c r="AB95" s="142"/>
      <c r="AC95" s="142"/>
      <c r="AD95" s="142"/>
      <c r="AE95" s="142"/>
      <c r="AF95" s="142"/>
      <c r="AG95" s="142"/>
      <c r="AH95" s="142"/>
      <c r="AI95" s="161"/>
      <c r="AL95" s="142"/>
    </row>
    <row r="96" spans="1:38" x14ac:dyDescent="0.25">
      <c r="A96" s="206">
        <v>10.6</v>
      </c>
      <c r="B96">
        <v>53599</v>
      </c>
      <c r="C96" s="206">
        <v>56.3</v>
      </c>
      <c r="D96" s="206">
        <v>97.94</v>
      </c>
      <c r="E96" s="206">
        <v>91.16</v>
      </c>
      <c r="F96" s="206">
        <v>761</v>
      </c>
      <c r="G96" s="206">
        <v>13.87</v>
      </c>
      <c r="H96" s="207">
        <v>0.83199999999999996</v>
      </c>
      <c r="I96" s="206">
        <v>10.6</v>
      </c>
      <c r="J96" s="206"/>
      <c r="K96"/>
      <c r="Y96" s="163"/>
      <c r="Z96" s="133"/>
      <c r="AA96" s="133"/>
      <c r="AB96" s="163"/>
      <c r="AC96" s="163"/>
      <c r="AD96" s="163"/>
      <c r="AE96" s="163"/>
      <c r="AF96" s="163"/>
      <c r="AG96" s="163"/>
      <c r="AH96" s="163"/>
      <c r="AI96" s="164"/>
      <c r="AJ96" s="133"/>
      <c r="AK96" s="133"/>
      <c r="AL96" s="163"/>
    </row>
    <row r="97" spans="1:38" x14ac:dyDescent="0.25">
      <c r="A97" s="206">
        <v>10.7</v>
      </c>
      <c r="B97">
        <v>54162</v>
      </c>
      <c r="C97" s="206">
        <v>56.3</v>
      </c>
      <c r="D97" s="206">
        <v>97.87</v>
      </c>
      <c r="E97" s="206">
        <v>91.01</v>
      </c>
      <c r="F97" s="206">
        <v>763</v>
      </c>
      <c r="G97" s="206">
        <v>13.85</v>
      </c>
      <c r="H97" s="207">
        <v>0.83299999999999996</v>
      </c>
      <c r="I97" s="206">
        <v>10.7</v>
      </c>
      <c r="J97" s="206"/>
      <c r="K97"/>
      <c r="Y97" s="142"/>
      <c r="AB97" s="142"/>
      <c r="AC97" s="142"/>
      <c r="AD97" s="142"/>
      <c r="AE97" s="142"/>
      <c r="AF97" s="142"/>
      <c r="AG97" s="142"/>
      <c r="AH97" s="142"/>
      <c r="AI97" s="161"/>
      <c r="AL97" s="142"/>
    </row>
    <row r="98" spans="1:38" x14ac:dyDescent="0.25">
      <c r="A98" s="206">
        <v>10.8</v>
      </c>
      <c r="B98">
        <v>54725</v>
      </c>
      <c r="C98" s="206">
        <v>56.4</v>
      </c>
      <c r="D98" s="206">
        <v>97.8</v>
      </c>
      <c r="E98" s="206">
        <v>90.85</v>
      </c>
      <c r="F98" s="206">
        <v>764.8</v>
      </c>
      <c r="G98" s="206">
        <v>13.83</v>
      </c>
      <c r="H98" s="207">
        <v>0.83399999999999996</v>
      </c>
      <c r="I98" s="206">
        <v>10.8</v>
      </c>
      <c r="J98" s="142"/>
      <c r="Y98" s="142"/>
      <c r="AB98" s="142"/>
      <c r="AC98" s="142"/>
      <c r="AD98" s="142"/>
      <c r="AE98" s="142"/>
      <c r="AF98" s="142"/>
      <c r="AG98" s="142"/>
      <c r="AH98" s="142"/>
      <c r="AI98" s="161"/>
      <c r="AL98" s="142"/>
    </row>
    <row r="99" spans="1:38" x14ac:dyDescent="0.25">
      <c r="A99" s="206">
        <v>10.9</v>
      </c>
      <c r="B99">
        <v>55289</v>
      </c>
      <c r="C99" s="206">
        <v>56.4</v>
      </c>
      <c r="D99" s="206">
        <v>97.72</v>
      </c>
      <c r="E99" s="206">
        <v>90.7</v>
      </c>
      <c r="F99" s="206">
        <v>766.4</v>
      </c>
      <c r="G99" s="206">
        <v>13.81</v>
      </c>
      <c r="H99" s="207">
        <v>0.83499999999999996</v>
      </c>
      <c r="I99" s="206">
        <v>10.9</v>
      </c>
      <c r="J99" s="142"/>
      <c r="Y99" s="142"/>
      <c r="AB99" s="142"/>
      <c r="AC99" s="142"/>
      <c r="AD99" s="142"/>
      <c r="AE99" s="142"/>
      <c r="AF99" s="142"/>
      <c r="AG99" s="142"/>
      <c r="AH99" s="142"/>
      <c r="AI99" s="161"/>
      <c r="AL99" s="142"/>
    </row>
    <row r="100" spans="1:38" x14ac:dyDescent="0.25">
      <c r="A100" s="206">
        <v>11</v>
      </c>
      <c r="B100">
        <v>55854</v>
      </c>
      <c r="C100" s="206">
        <v>56.5</v>
      </c>
      <c r="D100" s="206">
        <v>97.65</v>
      </c>
      <c r="E100" s="206">
        <v>90.54</v>
      </c>
      <c r="F100" s="206">
        <v>767.9</v>
      </c>
      <c r="G100" s="206">
        <v>13.79</v>
      </c>
      <c r="H100" s="207">
        <v>0.83599999999999997</v>
      </c>
      <c r="I100" s="206">
        <v>11</v>
      </c>
      <c r="J100" s="142"/>
      <c r="Y100" s="142"/>
      <c r="AB100" s="142"/>
      <c r="AC100" s="142"/>
      <c r="AD100" s="142"/>
      <c r="AE100" s="142"/>
      <c r="AF100" s="142"/>
      <c r="AG100" s="142"/>
      <c r="AH100" s="142"/>
      <c r="AI100" s="161"/>
      <c r="AL100" s="142"/>
    </row>
    <row r="101" spans="1:38" x14ac:dyDescent="0.25">
      <c r="A101" s="206">
        <v>11.1</v>
      </c>
      <c r="B101">
        <v>56419</v>
      </c>
      <c r="C101" s="206">
        <v>56.5</v>
      </c>
      <c r="D101" s="206">
        <v>97.58</v>
      </c>
      <c r="E101" s="206">
        <v>90.38</v>
      </c>
      <c r="F101" s="206">
        <v>769.1</v>
      </c>
      <c r="G101" s="206">
        <v>13.77</v>
      </c>
      <c r="H101" s="207">
        <v>0.83699999999999997</v>
      </c>
      <c r="I101" s="206">
        <v>11.1</v>
      </c>
      <c r="J101" s="142"/>
      <c r="Y101" s="142"/>
      <c r="AB101" s="142"/>
      <c r="AC101" s="142"/>
      <c r="AD101" s="142"/>
      <c r="AE101" s="142"/>
      <c r="AF101" s="142"/>
      <c r="AG101" s="142"/>
      <c r="AH101" s="142"/>
      <c r="AI101" s="161"/>
      <c r="AL101" s="142"/>
    </row>
    <row r="102" spans="1:38" x14ac:dyDescent="0.25">
      <c r="A102" s="206">
        <v>11.2</v>
      </c>
      <c r="B102">
        <v>56984</v>
      </c>
      <c r="C102" s="206">
        <v>56.5</v>
      </c>
      <c r="D102" s="206">
        <v>97.51</v>
      </c>
      <c r="E102" s="206">
        <v>90.21</v>
      </c>
      <c r="F102" s="206">
        <v>770.1</v>
      </c>
      <c r="G102" s="206">
        <v>13.76</v>
      </c>
      <c r="H102" s="207">
        <v>0.83799999999999997</v>
      </c>
      <c r="I102" s="206">
        <v>11.2</v>
      </c>
      <c r="J102" s="142"/>
      <c r="Y102" s="142"/>
      <c r="AB102" s="142"/>
      <c r="AC102" s="142"/>
      <c r="AD102" s="142"/>
      <c r="AE102" s="142"/>
      <c r="AF102" s="142"/>
      <c r="AG102" s="142"/>
      <c r="AH102" s="142"/>
      <c r="AI102" s="161"/>
      <c r="AL102" s="142"/>
    </row>
    <row r="103" spans="1:38" x14ac:dyDescent="0.25">
      <c r="A103" s="206">
        <v>11.3</v>
      </c>
      <c r="B103">
        <v>57550</v>
      </c>
      <c r="C103" s="206">
        <v>56.6</v>
      </c>
      <c r="D103" s="206">
        <v>97.44</v>
      </c>
      <c r="E103" s="206">
        <v>90.04</v>
      </c>
      <c r="F103" s="206">
        <v>770.7</v>
      </c>
      <c r="G103" s="206">
        <v>13.75</v>
      </c>
      <c r="H103" s="207">
        <v>0.83799999999999997</v>
      </c>
      <c r="I103" s="206">
        <v>11.3</v>
      </c>
      <c r="J103" s="142"/>
      <c r="Y103" s="142"/>
      <c r="AB103" s="142"/>
      <c r="AC103" s="142"/>
      <c r="AD103" s="142"/>
      <c r="AE103" s="142"/>
      <c r="AF103" s="142"/>
      <c r="AG103" s="142"/>
      <c r="AH103" s="142"/>
      <c r="AI103" s="161"/>
      <c r="AL103" s="142"/>
    </row>
    <row r="104" spans="1:38" x14ac:dyDescent="0.25">
      <c r="A104" s="206">
        <v>11.4</v>
      </c>
      <c r="B104">
        <v>58116</v>
      </c>
      <c r="C104" s="206">
        <v>56.6</v>
      </c>
      <c r="D104" s="206">
        <v>97.36</v>
      </c>
      <c r="E104" s="206">
        <v>89.89</v>
      </c>
      <c r="F104" s="206">
        <v>771.9</v>
      </c>
      <c r="G104" s="206">
        <v>13.74</v>
      </c>
      <c r="H104" s="207">
        <v>0.83899999999999997</v>
      </c>
      <c r="I104" s="206">
        <v>11.4</v>
      </c>
      <c r="J104" s="142"/>
      <c r="Y104" s="142"/>
      <c r="AB104" s="142"/>
      <c r="AC104" s="142"/>
      <c r="AD104" s="142"/>
      <c r="AE104" s="142"/>
      <c r="AF104" s="142"/>
      <c r="AG104" s="142"/>
      <c r="AH104" s="142"/>
      <c r="AI104" s="161"/>
      <c r="AL104" s="142"/>
    </row>
    <row r="105" spans="1:38" x14ac:dyDescent="0.25">
      <c r="A105" s="206">
        <v>11.5</v>
      </c>
      <c r="B105">
        <v>58682</v>
      </c>
      <c r="C105" s="206">
        <v>56.7</v>
      </c>
      <c r="D105" s="206">
        <v>97.29</v>
      </c>
      <c r="E105" s="206">
        <v>89.8</v>
      </c>
      <c r="F105" s="206">
        <v>774.4</v>
      </c>
      <c r="G105" s="206">
        <v>13.73</v>
      </c>
      <c r="H105" s="207">
        <v>0.84</v>
      </c>
      <c r="I105" s="206">
        <v>11.5</v>
      </c>
      <c r="J105" s="142"/>
      <c r="Y105" s="142"/>
      <c r="AB105" s="142"/>
      <c r="AC105" s="142"/>
      <c r="AD105" s="142"/>
      <c r="AE105" s="142"/>
      <c r="AF105" s="142"/>
      <c r="AG105" s="142"/>
      <c r="AH105" s="142"/>
      <c r="AI105" s="161"/>
      <c r="AL105" s="142"/>
    </row>
    <row r="106" spans="1:38" x14ac:dyDescent="0.25">
      <c r="A106" s="206">
        <v>11.6</v>
      </c>
      <c r="B106">
        <v>59249</v>
      </c>
      <c r="C106" s="206">
        <v>56.7</v>
      </c>
      <c r="D106" s="206">
        <v>97.22</v>
      </c>
      <c r="E106" s="206">
        <v>89.7</v>
      </c>
      <c r="F106" s="206">
        <v>776.8</v>
      </c>
      <c r="G106" s="206">
        <v>13.72</v>
      </c>
      <c r="H106" s="207">
        <v>0.84099999999999997</v>
      </c>
      <c r="I106" s="206">
        <v>11.6</v>
      </c>
      <c r="J106" s="142"/>
      <c r="Y106" s="163"/>
      <c r="Z106" s="133"/>
      <c r="AA106" s="133"/>
      <c r="AB106" s="163"/>
      <c r="AC106" s="163"/>
      <c r="AD106" s="163"/>
      <c r="AE106" s="163"/>
      <c r="AF106" s="163"/>
      <c r="AG106" s="163"/>
      <c r="AH106" s="163"/>
      <c r="AI106" s="164"/>
      <c r="AJ106" s="133"/>
      <c r="AK106" s="133"/>
      <c r="AL106" s="163"/>
    </row>
    <row r="107" spans="1:38" x14ac:dyDescent="0.25">
      <c r="A107" s="206">
        <v>11.7</v>
      </c>
      <c r="B107">
        <v>59817</v>
      </c>
      <c r="C107" s="206">
        <v>56.8</v>
      </c>
      <c r="D107" s="206">
        <v>97.15</v>
      </c>
      <c r="E107" s="206">
        <v>89.61</v>
      </c>
      <c r="F107" s="206">
        <v>779.2</v>
      </c>
      <c r="G107" s="206">
        <v>13.71</v>
      </c>
      <c r="H107" s="207">
        <v>0.84199999999999997</v>
      </c>
      <c r="I107" s="206">
        <v>11.7</v>
      </c>
      <c r="J107" s="142"/>
      <c r="Y107" s="142"/>
      <c r="AB107" s="142"/>
      <c r="AC107" s="142"/>
      <c r="AD107" s="142"/>
      <c r="AE107" s="142"/>
      <c r="AF107" s="142"/>
      <c r="AG107" s="142"/>
      <c r="AH107" s="142"/>
      <c r="AI107" s="161"/>
      <c r="AL107" s="142"/>
    </row>
    <row r="108" spans="1:38" x14ac:dyDescent="0.25">
      <c r="A108" s="206">
        <v>11.8</v>
      </c>
      <c r="B108">
        <v>60385</v>
      </c>
      <c r="C108" s="206">
        <v>56.9</v>
      </c>
      <c r="D108" s="206">
        <v>97.07</v>
      </c>
      <c r="E108" s="206">
        <v>89.52</v>
      </c>
      <c r="F108" s="206">
        <v>781.5</v>
      </c>
      <c r="G108" s="206">
        <v>13.7</v>
      </c>
      <c r="H108" s="207">
        <v>0.84199999999999997</v>
      </c>
      <c r="I108" s="206">
        <v>11.8</v>
      </c>
      <c r="J108" s="142"/>
      <c r="Y108" s="142"/>
      <c r="AB108" s="142"/>
      <c r="AC108" s="142"/>
      <c r="AD108" s="142"/>
      <c r="AE108" s="142"/>
      <c r="AF108" s="142"/>
      <c r="AG108" s="142"/>
      <c r="AH108" s="142"/>
      <c r="AI108" s="161"/>
      <c r="AL108" s="142"/>
    </row>
    <row r="109" spans="1:38" x14ac:dyDescent="0.25">
      <c r="A109" s="206">
        <v>11.9</v>
      </c>
      <c r="B109">
        <v>60954</v>
      </c>
      <c r="C109" s="206">
        <v>56.9</v>
      </c>
      <c r="D109" s="206">
        <v>97</v>
      </c>
      <c r="E109" s="206">
        <v>89.44</v>
      </c>
      <c r="F109" s="206">
        <v>783.7</v>
      </c>
      <c r="G109" s="206">
        <v>13.7</v>
      </c>
      <c r="H109" s="207">
        <v>0.84299999999999997</v>
      </c>
      <c r="I109" s="206">
        <v>11.9</v>
      </c>
      <c r="J109" s="142"/>
      <c r="Y109" s="142"/>
      <c r="AB109" s="142"/>
      <c r="AC109" s="142"/>
      <c r="AD109" s="142"/>
      <c r="AE109" s="142"/>
      <c r="AF109" s="142"/>
      <c r="AG109" s="142"/>
      <c r="AH109" s="142"/>
      <c r="AI109" s="161"/>
      <c r="AL109" s="142"/>
    </row>
    <row r="110" spans="1:38" x14ac:dyDescent="0.25">
      <c r="A110" s="206">
        <v>12</v>
      </c>
      <c r="B110">
        <v>61524</v>
      </c>
      <c r="C110" s="206">
        <v>57</v>
      </c>
      <c r="D110" s="206">
        <v>96.93</v>
      </c>
      <c r="E110" s="206">
        <v>89.35</v>
      </c>
      <c r="F110" s="206">
        <v>785.9</v>
      </c>
      <c r="G110" s="206">
        <v>13.69</v>
      </c>
      <c r="H110" s="207">
        <v>0.84399999999999997</v>
      </c>
      <c r="I110" s="206">
        <v>12</v>
      </c>
      <c r="J110" s="142"/>
      <c r="Y110" s="142"/>
      <c r="AB110" s="142"/>
      <c r="AC110" s="142"/>
      <c r="AD110" s="142"/>
      <c r="AE110" s="142"/>
      <c r="AF110" s="142"/>
      <c r="AG110" s="142"/>
      <c r="AH110" s="142"/>
      <c r="AI110" s="161"/>
      <c r="AL110" s="142"/>
    </row>
    <row r="111" spans="1:38" x14ac:dyDescent="0.25">
      <c r="A111" s="206">
        <v>12.1</v>
      </c>
      <c r="B111">
        <v>62094</v>
      </c>
      <c r="C111" s="206">
        <v>57</v>
      </c>
      <c r="D111" s="206">
        <v>96.86</v>
      </c>
      <c r="E111" s="206">
        <v>89.27</v>
      </c>
      <c r="F111" s="206">
        <v>788.1</v>
      </c>
      <c r="G111" s="206">
        <v>13.69</v>
      </c>
      <c r="H111" s="207">
        <v>0.84499999999999997</v>
      </c>
      <c r="I111" s="206">
        <v>12.1</v>
      </c>
      <c r="J111" s="142"/>
      <c r="Y111" s="142"/>
      <c r="AB111" s="142"/>
      <c r="AC111" s="142"/>
      <c r="AD111" s="142"/>
      <c r="AE111" s="142"/>
      <c r="AF111" s="142"/>
      <c r="AG111" s="142"/>
      <c r="AH111" s="142"/>
      <c r="AI111" s="161"/>
      <c r="AL111" s="142"/>
    </row>
    <row r="112" spans="1:38" x14ac:dyDescent="0.25">
      <c r="A112" s="206">
        <v>12.2</v>
      </c>
      <c r="B112">
        <v>62665</v>
      </c>
      <c r="C112" s="206">
        <v>57.1</v>
      </c>
      <c r="D112" s="206">
        <v>96.79</v>
      </c>
      <c r="E112" s="206">
        <v>89.19</v>
      </c>
      <c r="F112" s="206">
        <v>790.2</v>
      </c>
      <c r="G112" s="206">
        <v>13.69</v>
      </c>
      <c r="H112" s="207">
        <v>0.84599999999999997</v>
      </c>
      <c r="I112" s="206">
        <v>12.2</v>
      </c>
      <c r="J112" s="142"/>
      <c r="Y112" s="142"/>
      <c r="AB112" s="142"/>
      <c r="AC112" s="142"/>
      <c r="AD112" s="142"/>
      <c r="AE112" s="142"/>
      <c r="AF112" s="142"/>
      <c r="AG112" s="142"/>
      <c r="AH112" s="142"/>
      <c r="AI112" s="161"/>
      <c r="AL112" s="142"/>
    </row>
    <row r="113" spans="1:38" x14ac:dyDescent="0.25">
      <c r="A113" s="206">
        <v>12.3</v>
      </c>
      <c r="B113">
        <v>63236</v>
      </c>
      <c r="C113" s="206">
        <v>57.1</v>
      </c>
      <c r="D113" s="206">
        <v>96.72</v>
      </c>
      <c r="E113" s="206">
        <v>89.11</v>
      </c>
      <c r="F113" s="206">
        <v>792.2</v>
      </c>
      <c r="G113" s="206">
        <v>13.68</v>
      </c>
      <c r="H113" s="207">
        <v>0.84599999999999997</v>
      </c>
      <c r="I113" s="206">
        <v>12.3</v>
      </c>
      <c r="J113" s="142"/>
      <c r="Y113" s="142"/>
      <c r="AB113" s="142"/>
      <c r="AC113" s="142"/>
      <c r="AD113" s="142"/>
      <c r="AE113" s="142"/>
      <c r="AF113" s="142"/>
      <c r="AG113" s="142"/>
      <c r="AH113" s="142"/>
      <c r="AI113" s="161"/>
      <c r="AL113" s="142"/>
    </row>
    <row r="114" spans="1:38" x14ac:dyDescent="0.25">
      <c r="A114" s="206">
        <v>12.4</v>
      </c>
      <c r="B114">
        <v>63808</v>
      </c>
      <c r="C114" s="206">
        <v>57.2</v>
      </c>
      <c r="D114" s="206">
        <v>96.66</v>
      </c>
      <c r="E114" s="206">
        <v>89.03</v>
      </c>
      <c r="F114" s="206">
        <v>794.2</v>
      </c>
      <c r="G114" s="206">
        <v>13.68</v>
      </c>
      <c r="H114" s="207">
        <v>0.84699999999999998</v>
      </c>
      <c r="I114" s="206">
        <v>12.4</v>
      </c>
      <c r="J114" s="142"/>
      <c r="Y114" s="142"/>
      <c r="AB114" s="142"/>
      <c r="AC114" s="142"/>
      <c r="AD114" s="142"/>
      <c r="AE114" s="142"/>
      <c r="AF114" s="142"/>
      <c r="AG114" s="142"/>
      <c r="AH114" s="142"/>
      <c r="AI114" s="161"/>
      <c r="AL114" s="142"/>
    </row>
    <row r="115" spans="1:38" x14ac:dyDescent="0.25">
      <c r="A115" s="206">
        <v>12.5</v>
      </c>
      <c r="B115">
        <v>64380</v>
      </c>
      <c r="C115" s="206">
        <v>57.3</v>
      </c>
      <c r="D115" s="206">
        <v>96.59</v>
      </c>
      <c r="E115" s="206">
        <v>88.96</v>
      </c>
      <c r="F115" s="206">
        <v>796.1</v>
      </c>
      <c r="G115" s="206">
        <v>13.68</v>
      </c>
      <c r="H115" s="207">
        <v>0.84799999999999998</v>
      </c>
      <c r="I115" s="206">
        <v>12.5</v>
      </c>
      <c r="J115" s="142"/>
      <c r="Y115" s="142"/>
      <c r="AB115" s="142"/>
      <c r="AC115" s="142"/>
      <c r="AD115" s="142"/>
      <c r="AE115" s="142"/>
      <c r="AF115" s="142"/>
      <c r="AG115" s="142"/>
      <c r="AH115" s="142"/>
      <c r="AI115" s="161"/>
      <c r="AL115" s="142"/>
    </row>
    <row r="116" spans="1:38" x14ac:dyDescent="0.25">
      <c r="A116" s="206">
        <v>12.6</v>
      </c>
      <c r="B116">
        <v>64953</v>
      </c>
      <c r="C116" s="206">
        <v>57.3</v>
      </c>
      <c r="D116" s="206">
        <v>96.52</v>
      </c>
      <c r="E116" s="206">
        <v>88.89</v>
      </c>
      <c r="F116" s="206">
        <v>798</v>
      </c>
      <c r="G116" s="206">
        <v>13.68</v>
      </c>
      <c r="H116" s="207">
        <v>0.84899999999999998</v>
      </c>
      <c r="I116" s="206">
        <v>12.6</v>
      </c>
      <c r="J116" s="142"/>
      <c r="Y116" s="163"/>
      <c r="Z116" s="133"/>
      <c r="AA116" s="133"/>
      <c r="AB116" s="163"/>
      <c r="AC116" s="163"/>
      <c r="AD116" s="163"/>
      <c r="AE116" s="163"/>
      <c r="AF116" s="163"/>
      <c r="AG116" s="163"/>
      <c r="AH116" s="163"/>
      <c r="AI116" s="164"/>
      <c r="AJ116" s="133"/>
      <c r="AK116" s="133"/>
      <c r="AL116" s="163"/>
    </row>
    <row r="117" spans="1:38" x14ac:dyDescent="0.25">
      <c r="A117" s="206">
        <v>12.7</v>
      </c>
      <c r="B117">
        <v>65526</v>
      </c>
      <c r="C117" s="206">
        <v>57.4</v>
      </c>
      <c r="D117" s="206">
        <v>96.45</v>
      </c>
      <c r="E117" s="206">
        <v>88.81</v>
      </c>
      <c r="F117" s="206">
        <v>799.9</v>
      </c>
      <c r="G117" s="206">
        <v>13.68</v>
      </c>
      <c r="H117" s="207">
        <v>0.84899999999999998</v>
      </c>
      <c r="I117" s="206">
        <v>12.7</v>
      </c>
      <c r="J117" s="142"/>
      <c r="Y117" s="142"/>
      <c r="AB117" s="142"/>
      <c r="AC117" s="142"/>
      <c r="AD117" s="142"/>
      <c r="AE117" s="142"/>
      <c r="AF117" s="142"/>
      <c r="AG117" s="142"/>
      <c r="AH117" s="142"/>
      <c r="AI117" s="161"/>
      <c r="AL117" s="142"/>
    </row>
    <row r="118" spans="1:38" x14ac:dyDescent="0.25">
      <c r="A118" s="206">
        <v>12.8</v>
      </c>
      <c r="B118">
        <v>66100</v>
      </c>
      <c r="C118" s="206">
        <v>57.4</v>
      </c>
      <c r="D118" s="206">
        <v>96.39</v>
      </c>
      <c r="E118" s="206">
        <v>88.75</v>
      </c>
      <c r="F118" s="206">
        <v>801.7</v>
      </c>
      <c r="G118" s="206">
        <v>13.69</v>
      </c>
      <c r="H118" s="207">
        <v>0.85</v>
      </c>
      <c r="I118" s="206">
        <v>12.8</v>
      </c>
      <c r="J118" s="142"/>
      <c r="Y118" s="142"/>
      <c r="AB118" s="142"/>
      <c r="AC118" s="142"/>
      <c r="AD118" s="142"/>
      <c r="AE118" s="142"/>
      <c r="AF118" s="142"/>
      <c r="AG118" s="142"/>
      <c r="AH118" s="142"/>
      <c r="AI118" s="161"/>
      <c r="AL118" s="142"/>
    </row>
    <row r="119" spans="1:38" x14ac:dyDescent="0.25">
      <c r="A119" s="206">
        <v>12.9</v>
      </c>
      <c r="B119">
        <v>66674</v>
      </c>
      <c r="C119" s="206">
        <v>57.4</v>
      </c>
      <c r="D119" s="206">
        <v>96.32</v>
      </c>
      <c r="E119" s="206">
        <v>88.67</v>
      </c>
      <c r="F119" s="206">
        <v>803.4</v>
      </c>
      <c r="G119" s="206">
        <v>13.69</v>
      </c>
      <c r="H119" s="207">
        <v>0.85099999999999998</v>
      </c>
      <c r="I119" s="206">
        <v>12.9</v>
      </c>
      <c r="J119" s="142"/>
      <c r="Y119" s="142"/>
      <c r="AB119" s="142"/>
      <c r="AC119" s="142"/>
      <c r="AD119" s="142"/>
      <c r="AE119" s="142"/>
      <c r="AF119" s="142"/>
      <c r="AG119" s="142"/>
      <c r="AH119" s="142"/>
      <c r="AI119" s="161"/>
      <c r="AL119" s="142"/>
    </row>
    <row r="120" spans="1:38" x14ac:dyDescent="0.25">
      <c r="A120" s="206">
        <v>13</v>
      </c>
      <c r="B120">
        <v>67249</v>
      </c>
      <c r="C120" s="206">
        <v>57.5</v>
      </c>
      <c r="D120" s="206">
        <v>96.25</v>
      </c>
      <c r="E120" s="206">
        <v>88.61</v>
      </c>
      <c r="F120" s="206">
        <v>805.1</v>
      </c>
      <c r="G120" s="206">
        <v>13.69</v>
      </c>
      <c r="H120" s="207">
        <v>0.85199999999999998</v>
      </c>
      <c r="I120" s="206">
        <v>13</v>
      </c>
      <c r="J120" s="142"/>
      <c r="Y120" s="142"/>
      <c r="AB120" s="142"/>
      <c r="AC120" s="142"/>
      <c r="AD120" s="142"/>
      <c r="AE120" s="142"/>
      <c r="AF120" s="142"/>
      <c r="AG120" s="142"/>
      <c r="AH120" s="142"/>
      <c r="AI120" s="161"/>
      <c r="AL120" s="142"/>
    </row>
    <row r="121" spans="1:38" x14ac:dyDescent="0.25">
      <c r="A121" s="206">
        <v>13.1</v>
      </c>
      <c r="B121">
        <v>67824</v>
      </c>
      <c r="C121" s="206">
        <v>57.5</v>
      </c>
      <c r="D121" s="206">
        <v>96.19</v>
      </c>
      <c r="E121" s="206">
        <v>88.54</v>
      </c>
      <c r="F121" s="206">
        <v>806.8</v>
      </c>
      <c r="G121" s="206">
        <v>13.7</v>
      </c>
      <c r="H121" s="207">
        <v>0.85199999999999998</v>
      </c>
      <c r="I121" s="206">
        <v>13.1</v>
      </c>
      <c r="J121" s="142"/>
      <c r="Y121" s="142"/>
      <c r="AB121" s="142"/>
      <c r="AC121" s="142"/>
      <c r="AD121" s="142"/>
      <c r="AE121" s="142"/>
      <c r="AF121" s="142"/>
      <c r="AG121" s="142"/>
      <c r="AH121" s="142"/>
      <c r="AI121" s="161"/>
      <c r="AL121" s="142"/>
    </row>
    <row r="122" spans="1:38" x14ac:dyDescent="0.25">
      <c r="A122" s="206">
        <v>13.2</v>
      </c>
      <c r="B122">
        <v>68399</v>
      </c>
      <c r="C122" s="206">
        <v>57.6</v>
      </c>
      <c r="D122" s="206">
        <v>96.13</v>
      </c>
      <c r="E122" s="206">
        <v>88.48</v>
      </c>
      <c r="F122" s="206">
        <v>808.5</v>
      </c>
      <c r="G122" s="206">
        <v>13.7</v>
      </c>
      <c r="H122" s="207">
        <v>0.85299999999999998</v>
      </c>
      <c r="I122" s="206">
        <v>13.2</v>
      </c>
      <c r="J122" s="142"/>
      <c r="Y122" s="142"/>
      <c r="AB122" s="142"/>
      <c r="AC122" s="142"/>
      <c r="AD122" s="142"/>
      <c r="AE122" s="142"/>
      <c r="AF122" s="142"/>
      <c r="AG122" s="142"/>
      <c r="AH122" s="142"/>
      <c r="AI122" s="161"/>
      <c r="AL122" s="142"/>
    </row>
    <row r="123" spans="1:38" x14ac:dyDescent="0.25">
      <c r="A123"/>
      <c r="B123"/>
      <c r="C123"/>
      <c r="D123"/>
      <c r="E123"/>
      <c r="F123"/>
      <c r="G123"/>
      <c r="H123"/>
      <c r="I123"/>
      <c r="Y123" s="142"/>
      <c r="AB123" s="142"/>
      <c r="AC123" s="142"/>
      <c r="AD123" s="142"/>
      <c r="AE123" s="142"/>
      <c r="AF123" s="142"/>
      <c r="AG123" s="142"/>
      <c r="AH123" s="142"/>
      <c r="AI123" s="161"/>
      <c r="AL123" s="142"/>
    </row>
    <row r="124" spans="1:38" x14ac:dyDescent="0.25">
      <c r="A124" s="205" t="s">
        <v>33</v>
      </c>
      <c r="B124" s="205" t="s">
        <v>34</v>
      </c>
      <c r="C124" s="205" t="s">
        <v>39</v>
      </c>
      <c r="D124" s="205" t="s">
        <v>35</v>
      </c>
      <c r="E124" s="205" t="s">
        <v>36</v>
      </c>
      <c r="F124" s="205" t="s">
        <v>38</v>
      </c>
      <c r="G124" s="205" t="s">
        <v>37</v>
      </c>
      <c r="H124" s="205" t="s">
        <v>40</v>
      </c>
      <c r="I124" s="205" t="s">
        <v>33</v>
      </c>
    </row>
    <row r="125" spans="1:38" x14ac:dyDescent="0.25">
      <c r="H125" s="161"/>
    </row>
  </sheetData>
  <sheetProtection algorithmName="SHA-512" hashValue="1qX6pp2S9b0Xa4d3VBCvyFzk8VCP4TuSWULG/8Pb4L/8Tj51A9Y8gT2bJ3BzLgm1LRVjPc0Jz+inzPrW1dH5ww==" saltValue="TjBTYx6JZpYl1y1OL/7A1A==" spinCount="100000" sheet="1" objects="1" scenarios="1"/>
  <mergeCells count="34">
    <mergeCell ref="A1:B1"/>
    <mergeCell ref="C1:F1"/>
    <mergeCell ref="K1:N1"/>
    <mergeCell ref="N89:O89"/>
    <mergeCell ref="N87:O87"/>
    <mergeCell ref="N88:O88"/>
    <mergeCell ref="K2:N2"/>
    <mergeCell ref="K15:K19"/>
    <mergeCell ref="G1:I1"/>
    <mergeCell ref="P85:Q85"/>
    <mergeCell ref="P86:Q86"/>
    <mergeCell ref="N85:O85"/>
    <mergeCell ref="N86:O86"/>
    <mergeCell ref="V37:W37"/>
    <mergeCell ref="N37:O37"/>
    <mergeCell ref="P37:Q37"/>
    <mergeCell ref="Y62:AL62"/>
    <mergeCell ref="K31:K35"/>
    <mergeCell ref="L31:M31"/>
    <mergeCell ref="N31:O31"/>
    <mergeCell ref="P31:Q31"/>
    <mergeCell ref="R31:S31"/>
    <mergeCell ref="T31:U31"/>
    <mergeCell ref="V31:W31"/>
    <mergeCell ref="R37:S37"/>
    <mergeCell ref="T37:U37"/>
    <mergeCell ref="K37:K41"/>
    <mergeCell ref="L37:M37"/>
    <mergeCell ref="V15:W15"/>
    <mergeCell ref="R15:S15"/>
    <mergeCell ref="T15:U15"/>
    <mergeCell ref="L15:M15"/>
    <mergeCell ref="N15:O15"/>
    <mergeCell ref="P15:Q15"/>
  </mergeCells>
  <phoneticPr fontId="3" type="noConversion"/>
  <printOptions gridLines="1"/>
  <pageMargins left="0.43307086614173229" right="0.31496062992125984" top="0.26" bottom="0.35433070866141736" header="7.874015748031496E-2" footer="0"/>
  <pageSetup paperSize="9" orientation="portrait" verticalDpi="300" r:id="rId1"/>
  <headerFooter alignWithMargins="0">
    <oddFooter>&amp;CB/C "SCORPIO"&amp;R&amp;"Arial,Cursiva"Capt. F. Louzán</oddFooter>
  </headerFooter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B59C97-FBC9-41B1-957F-A996DC78F60D}">
  <sheetPr codeName="Hoja3"/>
  <dimension ref="A1:KB280"/>
  <sheetViews>
    <sheetView tabSelected="1" topLeftCell="A76" zoomScaleNormal="100" workbookViewId="0">
      <selection activeCell="F84" sqref="F84"/>
    </sheetView>
  </sheetViews>
  <sheetFormatPr baseColWidth="10" defaultRowHeight="13.2" x14ac:dyDescent="0.25"/>
  <cols>
    <col min="1" max="1" width="3.21875" customWidth="1"/>
    <col min="7" max="7" width="13" customWidth="1"/>
    <col min="9" max="9" width="12" customWidth="1"/>
    <col min="10" max="10" width="2.6640625" customWidth="1"/>
    <col min="11" max="11" width="13" customWidth="1"/>
    <col min="14" max="14" width="13.6640625" customWidth="1"/>
    <col min="15" max="15" width="3.5546875" customWidth="1"/>
    <col min="16" max="16" width="12.33203125" customWidth="1"/>
    <col min="24" max="24" width="11.77734375" bestFit="1" customWidth="1"/>
    <col min="26" max="26" width="12.33203125" bestFit="1" customWidth="1"/>
    <col min="49" max="49" width="12.33203125" bestFit="1" customWidth="1"/>
  </cols>
  <sheetData>
    <row r="1" spans="1:71" x14ac:dyDescent="0.25">
      <c r="A1" s="255"/>
      <c r="B1" s="255"/>
      <c r="C1" s="255"/>
      <c r="D1" s="255"/>
      <c r="E1" s="255"/>
      <c r="F1" s="253"/>
      <c r="G1" s="253"/>
      <c r="H1" s="253"/>
      <c r="I1" s="253"/>
      <c r="J1" s="255"/>
      <c r="K1" s="255"/>
      <c r="L1" s="255"/>
      <c r="M1" s="255"/>
      <c r="N1" s="255"/>
      <c r="O1" s="255"/>
      <c r="P1" s="255"/>
      <c r="Q1" s="255"/>
      <c r="R1" s="255"/>
      <c r="S1" s="255"/>
      <c r="T1" s="255"/>
      <c r="U1" s="255"/>
      <c r="V1" s="255"/>
      <c r="W1" s="255"/>
      <c r="X1" s="255"/>
      <c r="Y1" s="255"/>
      <c r="Z1" s="255"/>
      <c r="AA1" s="255"/>
      <c r="AB1" s="255"/>
      <c r="AC1" s="255"/>
      <c r="AD1" s="255"/>
      <c r="AE1" s="255"/>
      <c r="AF1" s="255"/>
      <c r="AG1" s="255"/>
      <c r="AH1" s="255"/>
      <c r="AI1" s="255"/>
      <c r="AJ1" s="255"/>
      <c r="AK1" s="255"/>
      <c r="AL1" s="255"/>
      <c r="AM1" s="255"/>
      <c r="AN1" s="255"/>
      <c r="AO1" s="255"/>
      <c r="AP1" s="255"/>
      <c r="AQ1" s="255"/>
      <c r="AR1" s="255"/>
      <c r="AS1" s="255"/>
      <c r="AT1" s="255"/>
      <c r="AU1" s="255"/>
      <c r="AV1" s="255"/>
      <c r="AW1" s="255"/>
      <c r="AX1" s="255"/>
      <c r="AY1" s="255"/>
      <c r="AZ1" s="255"/>
      <c r="BA1" s="255"/>
      <c r="BB1" s="255"/>
      <c r="BC1" s="255"/>
      <c r="BD1" s="255"/>
      <c r="BE1" s="255"/>
      <c r="BF1" s="255"/>
      <c r="BG1" s="255"/>
      <c r="BH1" s="255"/>
      <c r="BI1" s="255"/>
      <c r="BJ1" s="255"/>
      <c r="BK1" s="255"/>
      <c r="BL1" s="255"/>
      <c r="BM1" s="255"/>
      <c r="BN1" s="255"/>
      <c r="BO1" s="255"/>
      <c r="BP1" s="255"/>
      <c r="BQ1" s="255"/>
      <c r="BR1" s="255"/>
      <c r="BS1" s="255"/>
    </row>
    <row r="2" spans="1:71" x14ac:dyDescent="0.25">
      <c r="A2" s="255"/>
      <c r="B2" s="340" t="s">
        <v>451</v>
      </c>
      <c r="C2" s="338"/>
      <c r="D2" s="255"/>
      <c r="E2" s="256"/>
      <c r="F2" s="279" t="s">
        <v>244</v>
      </c>
      <c r="G2" s="257"/>
      <c r="H2" s="257"/>
      <c r="I2" s="257"/>
      <c r="J2" s="255"/>
      <c r="K2" s="340" t="s">
        <v>450</v>
      </c>
      <c r="L2" s="337"/>
      <c r="M2" s="255"/>
      <c r="N2" s="255"/>
      <c r="O2" s="255"/>
      <c r="P2" s="255"/>
      <c r="Q2" s="255"/>
      <c r="R2" s="255"/>
      <c r="S2" s="255"/>
      <c r="T2" s="255"/>
      <c r="U2" s="255"/>
      <c r="V2" s="255"/>
      <c r="W2" s="255"/>
      <c r="X2" s="255"/>
      <c r="Y2" s="255"/>
      <c r="Z2" s="255"/>
      <c r="AA2" s="255"/>
      <c r="AB2" s="255"/>
      <c r="AC2" s="255"/>
      <c r="AD2" s="255"/>
      <c r="AE2" s="255"/>
      <c r="AF2" s="255"/>
      <c r="AG2" s="255"/>
      <c r="AH2" s="255"/>
      <c r="AI2" s="255"/>
      <c r="AJ2" s="255"/>
      <c r="AK2" s="255"/>
      <c r="AL2" s="288" t="s">
        <v>379</v>
      </c>
      <c r="AM2" s="240"/>
      <c r="AN2" s="255"/>
      <c r="AO2" s="255"/>
      <c r="AP2" s="255"/>
      <c r="AQ2" s="255"/>
      <c r="AR2" s="255"/>
      <c r="AS2" s="255"/>
      <c r="AT2" s="255"/>
      <c r="AU2" s="255"/>
      <c r="AV2" s="255"/>
      <c r="AW2" s="255"/>
      <c r="AX2" s="255"/>
      <c r="AY2" s="255"/>
      <c r="AZ2" s="255"/>
      <c r="BA2" s="255"/>
      <c r="BB2" s="255"/>
      <c r="BC2" s="255"/>
      <c r="BD2" s="255"/>
      <c r="BE2" s="255"/>
      <c r="BF2" s="255"/>
      <c r="BG2" s="255"/>
      <c r="BH2" s="255"/>
      <c r="BI2" s="255"/>
      <c r="BJ2" s="255"/>
      <c r="BK2" s="255"/>
      <c r="BL2" s="255"/>
      <c r="BM2" s="255"/>
      <c r="BN2" s="255"/>
      <c r="BO2" s="255"/>
      <c r="BP2" s="255"/>
      <c r="BQ2" s="255"/>
      <c r="BR2" s="255"/>
      <c r="BS2" s="255"/>
    </row>
    <row r="3" spans="1:71" x14ac:dyDescent="0.25">
      <c r="A3" s="255"/>
      <c r="B3" s="255"/>
      <c r="C3" s="255"/>
      <c r="D3" s="255"/>
      <c r="E3" s="264" t="s">
        <v>384</v>
      </c>
      <c r="F3" s="253"/>
      <c r="G3" s="253"/>
      <c r="H3" s="253"/>
      <c r="I3" s="253"/>
      <c r="J3" s="255"/>
      <c r="K3" s="255"/>
      <c r="L3" s="255"/>
      <c r="M3" s="255"/>
      <c r="N3" s="255"/>
      <c r="O3" s="255"/>
      <c r="P3" s="255"/>
      <c r="Q3" s="255"/>
      <c r="R3" s="255"/>
      <c r="S3" s="255"/>
      <c r="T3" s="255"/>
      <c r="U3" s="255"/>
      <c r="V3" s="255"/>
      <c r="W3" s="255"/>
      <c r="X3" s="255"/>
      <c r="Y3" s="288" t="s">
        <v>366</v>
      </c>
      <c r="Z3" s="240"/>
      <c r="AA3" s="255"/>
      <c r="AB3" s="255"/>
      <c r="AC3" s="255"/>
      <c r="AD3" s="255"/>
      <c r="AE3" s="255"/>
      <c r="AF3" s="255"/>
      <c r="AG3" s="255"/>
      <c r="AH3" s="255"/>
      <c r="AI3" s="255"/>
      <c r="AJ3" s="255"/>
      <c r="AK3" s="255"/>
      <c r="AL3" s="255"/>
      <c r="AM3" s="255"/>
      <c r="AN3" s="255"/>
      <c r="AO3" s="255"/>
      <c r="AP3" s="255"/>
      <c r="AQ3" s="255"/>
      <c r="AR3" s="255"/>
      <c r="AS3" s="255"/>
      <c r="AT3" s="255"/>
      <c r="AU3" s="255"/>
      <c r="AV3" s="255"/>
      <c r="AW3" s="255"/>
      <c r="AX3" s="255"/>
      <c r="AY3" s="255"/>
      <c r="AZ3" s="255"/>
      <c r="BA3" s="255"/>
      <c r="BB3" s="255"/>
      <c r="BC3" s="255"/>
      <c r="BD3" s="255"/>
      <c r="BE3" s="255"/>
      <c r="BF3" s="255"/>
      <c r="BG3" s="255"/>
      <c r="BH3" s="255"/>
      <c r="BI3" s="255"/>
      <c r="BJ3" s="255"/>
      <c r="BK3" s="255"/>
      <c r="BL3" s="255"/>
      <c r="BM3" s="255"/>
      <c r="BN3" s="255"/>
      <c r="BO3" s="255"/>
      <c r="BP3" s="255"/>
      <c r="BQ3" s="255"/>
      <c r="BR3" s="255"/>
      <c r="BS3" s="255"/>
    </row>
    <row r="4" spans="1:71" x14ac:dyDescent="0.25">
      <c r="A4" s="255"/>
      <c r="B4" s="237" t="s">
        <v>114</v>
      </c>
      <c r="C4" s="237" t="s">
        <v>370</v>
      </c>
      <c r="D4" s="237" t="s">
        <v>116</v>
      </c>
      <c r="E4" s="237" t="s">
        <v>369</v>
      </c>
      <c r="F4" s="237" t="s">
        <v>115</v>
      </c>
      <c r="G4" s="237" t="s">
        <v>371</v>
      </c>
      <c r="H4" s="237" t="s">
        <v>122</v>
      </c>
      <c r="I4" s="237" t="s">
        <v>117</v>
      </c>
      <c r="J4" s="255"/>
      <c r="K4" s="237" t="s">
        <v>118</v>
      </c>
      <c r="L4" s="237" t="s">
        <v>119</v>
      </c>
      <c r="M4" s="237" t="s">
        <v>120</v>
      </c>
      <c r="N4" s="237" t="s">
        <v>121</v>
      </c>
      <c r="O4" s="255"/>
      <c r="P4" s="239" t="s">
        <v>140</v>
      </c>
      <c r="Q4" s="240"/>
      <c r="R4" s="248">
        <f>IFERROR(ATAN(N27/(B27*L28)),0)</f>
        <v>0.17096202907463676</v>
      </c>
      <c r="S4" s="258"/>
      <c r="T4" s="255"/>
      <c r="U4" s="255"/>
      <c r="V4" s="255"/>
      <c r="W4" s="255"/>
      <c r="X4" s="255"/>
      <c r="Y4" s="255"/>
      <c r="Z4" s="255"/>
      <c r="AA4" s="255"/>
      <c r="AB4" s="255"/>
      <c r="AC4" s="255"/>
      <c r="AD4" s="255"/>
      <c r="AE4" s="255"/>
      <c r="AF4" s="255"/>
      <c r="AG4" s="255"/>
      <c r="AH4" s="255"/>
      <c r="AI4" s="255"/>
      <c r="AJ4" s="255"/>
      <c r="AK4" s="239" t="s">
        <v>378</v>
      </c>
      <c r="AL4" s="284">
        <v>8</v>
      </c>
      <c r="AM4" s="284">
        <v>8.1</v>
      </c>
      <c r="AN4" s="284">
        <v>8.1999999999999993</v>
      </c>
      <c r="AO4" s="284">
        <v>8.3000000000000007</v>
      </c>
      <c r="AP4" s="284">
        <v>8.4</v>
      </c>
      <c r="AQ4" s="284">
        <v>8.5</v>
      </c>
      <c r="AR4" s="284">
        <v>8.6</v>
      </c>
      <c r="AS4" s="284">
        <v>8.6999999999999993</v>
      </c>
      <c r="AT4" s="284">
        <v>8.8000000000000007</v>
      </c>
      <c r="AU4" s="284">
        <v>8.9</v>
      </c>
      <c r="AV4" s="284">
        <v>9</v>
      </c>
      <c r="AW4" s="284">
        <v>9.1</v>
      </c>
      <c r="AX4" s="284">
        <v>9.1999999999999993</v>
      </c>
      <c r="AY4" s="284">
        <v>9.3000000000000007</v>
      </c>
      <c r="AZ4" s="284">
        <v>9.4</v>
      </c>
      <c r="BA4" s="284">
        <v>9.5</v>
      </c>
      <c r="BB4" s="284">
        <v>9.6</v>
      </c>
      <c r="BC4" s="284">
        <v>9.6999999999999993</v>
      </c>
      <c r="BD4" s="284">
        <v>9.8000000000000007</v>
      </c>
      <c r="BE4" s="284">
        <v>9.9</v>
      </c>
      <c r="BF4" s="284">
        <v>10</v>
      </c>
      <c r="BG4" s="284">
        <v>10.1</v>
      </c>
      <c r="BH4" s="284">
        <v>10.199999999999999</v>
      </c>
      <c r="BI4" s="284">
        <v>10.3</v>
      </c>
      <c r="BJ4" s="284">
        <v>10.4</v>
      </c>
      <c r="BK4" s="284">
        <v>10.5</v>
      </c>
      <c r="BL4" s="284">
        <v>10.6</v>
      </c>
      <c r="BM4" s="284">
        <v>10.7</v>
      </c>
      <c r="BN4" s="284">
        <v>10.8</v>
      </c>
      <c r="BO4" s="284">
        <v>10.9</v>
      </c>
      <c r="BP4" s="255"/>
      <c r="BQ4" s="255"/>
      <c r="BR4" s="255"/>
      <c r="BS4" s="255"/>
    </row>
    <row r="5" spans="1:71" x14ac:dyDescent="0.25">
      <c r="A5" s="255"/>
      <c r="B5" s="339"/>
      <c r="C5" s="315"/>
      <c r="D5" s="238">
        <f t="shared" ref="D5:D16" si="0">B5*C5</f>
        <v>0</v>
      </c>
      <c r="E5" s="315"/>
      <c r="F5" s="238">
        <f t="shared" ref="F5:F16" si="1">B5*E5</f>
        <v>0</v>
      </c>
      <c r="G5" s="315"/>
      <c r="H5" s="238">
        <f>B5*G5</f>
        <v>0</v>
      </c>
      <c r="I5" s="315"/>
      <c r="J5" s="255"/>
      <c r="K5" s="315"/>
      <c r="L5" s="323"/>
      <c r="M5" s="291">
        <v>1</v>
      </c>
      <c r="N5" s="243">
        <f>IFERROR((K5/L5)*M5,0)</f>
        <v>0</v>
      </c>
      <c r="O5" s="255"/>
      <c r="P5" s="239" t="s">
        <v>132</v>
      </c>
      <c r="Q5" s="240"/>
      <c r="R5" s="250">
        <f>IFERROR(R4*(180/PI()),0)</f>
        <v>9.7954027229695573</v>
      </c>
      <c r="S5" s="259" t="s">
        <v>137</v>
      </c>
      <c r="T5" s="255"/>
      <c r="U5" s="299" t="s">
        <v>365</v>
      </c>
      <c r="V5" s="284">
        <v>6</v>
      </c>
      <c r="W5" s="284">
        <v>6.2</v>
      </c>
      <c r="X5" s="284">
        <v>6.4</v>
      </c>
      <c r="Y5" s="284">
        <v>6.6</v>
      </c>
      <c r="Z5" s="284">
        <v>6.8</v>
      </c>
      <c r="AA5" s="284">
        <v>7</v>
      </c>
      <c r="AB5" s="284">
        <v>7.2</v>
      </c>
      <c r="AC5" s="284">
        <v>7.4</v>
      </c>
      <c r="AD5" s="284">
        <v>7.5</v>
      </c>
      <c r="AE5" s="255"/>
      <c r="AF5" s="255"/>
      <c r="AG5" s="255"/>
      <c r="AH5" s="255"/>
      <c r="AI5" s="255"/>
      <c r="AJ5" s="255"/>
      <c r="AK5" s="282">
        <v>7.5</v>
      </c>
      <c r="AL5">
        <v>61272</v>
      </c>
      <c r="AM5">
        <v>60463</v>
      </c>
      <c r="AN5">
        <v>59654</v>
      </c>
      <c r="AO5">
        <v>58845</v>
      </c>
      <c r="AP5">
        <v>58036</v>
      </c>
      <c r="AQ5">
        <v>57227</v>
      </c>
      <c r="AR5">
        <v>56418</v>
      </c>
      <c r="AS5">
        <v>55609</v>
      </c>
      <c r="AT5">
        <v>54801</v>
      </c>
      <c r="AU5">
        <v>53092</v>
      </c>
      <c r="AV5">
        <v>53182</v>
      </c>
      <c r="AW5">
        <v>52373</v>
      </c>
      <c r="AX5">
        <v>51565</v>
      </c>
      <c r="AY5">
        <v>50756</v>
      </c>
      <c r="AZ5">
        <v>49947</v>
      </c>
      <c r="BA5">
        <v>49138</v>
      </c>
      <c r="BB5">
        <v>48329</v>
      </c>
      <c r="BC5">
        <v>47520</v>
      </c>
      <c r="BD5">
        <v>46711</v>
      </c>
      <c r="BE5">
        <v>45902</v>
      </c>
      <c r="BF5">
        <v>45093</v>
      </c>
      <c r="BG5">
        <v>44284</v>
      </c>
      <c r="BH5">
        <v>43475</v>
      </c>
      <c r="BI5">
        <v>42667</v>
      </c>
      <c r="BJ5">
        <v>41858</v>
      </c>
      <c r="BK5">
        <v>41049</v>
      </c>
      <c r="BL5">
        <v>40240</v>
      </c>
      <c r="BM5">
        <v>39431</v>
      </c>
      <c r="BN5">
        <v>38622</v>
      </c>
      <c r="BO5">
        <v>37814</v>
      </c>
      <c r="BP5" s="255"/>
      <c r="BQ5" s="255"/>
      <c r="BR5" s="255"/>
      <c r="BS5" s="255"/>
    </row>
    <row r="6" spans="1:71" x14ac:dyDescent="0.25">
      <c r="A6" s="255"/>
      <c r="B6" s="339"/>
      <c r="C6" s="315"/>
      <c r="D6" s="238">
        <f t="shared" si="0"/>
        <v>0</v>
      </c>
      <c r="E6" s="315"/>
      <c r="F6" s="238">
        <f t="shared" si="1"/>
        <v>0</v>
      </c>
      <c r="G6" s="315"/>
      <c r="H6" s="238">
        <f>B6*G6</f>
        <v>0</v>
      </c>
      <c r="I6" s="315"/>
      <c r="J6" s="255"/>
      <c r="K6" s="315"/>
      <c r="L6" s="323"/>
      <c r="M6" s="291">
        <v>1</v>
      </c>
      <c r="N6" s="243">
        <f>IFERROR((K6/L6)*M6,0)</f>
        <v>0</v>
      </c>
      <c r="O6" s="255"/>
      <c r="P6" s="260"/>
      <c r="Q6" s="261"/>
      <c r="R6" s="258"/>
      <c r="S6" s="258"/>
      <c r="T6" s="255"/>
      <c r="U6" s="282">
        <v>15000</v>
      </c>
      <c r="V6" s="276">
        <v>5981</v>
      </c>
      <c r="W6" s="276">
        <v>5317</v>
      </c>
      <c r="X6" s="276">
        <v>4654</v>
      </c>
      <c r="Y6" s="276">
        <v>3990</v>
      </c>
      <c r="Z6" s="276">
        <v>3327</v>
      </c>
      <c r="AA6" s="276">
        <v>2663</v>
      </c>
      <c r="AB6" s="276">
        <v>2000</v>
      </c>
      <c r="AC6" s="276">
        <v>1336</v>
      </c>
      <c r="AD6" s="276">
        <v>0</v>
      </c>
      <c r="AE6" s="255"/>
      <c r="AF6" s="255"/>
      <c r="AG6" s="255"/>
      <c r="AH6" s="255"/>
      <c r="AI6" s="255"/>
      <c r="AJ6" s="255"/>
      <c r="AK6" s="282">
        <v>7.6</v>
      </c>
      <c r="AL6">
        <v>61429</v>
      </c>
      <c r="AM6">
        <v>60609</v>
      </c>
      <c r="AN6">
        <v>59788</v>
      </c>
      <c r="AO6">
        <v>58967</v>
      </c>
      <c r="AP6">
        <v>58147</v>
      </c>
      <c r="AQ6">
        <v>57326</v>
      </c>
      <c r="AR6">
        <v>56505</v>
      </c>
      <c r="AS6">
        <v>55685</v>
      </c>
      <c r="AT6">
        <v>54864</v>
      </c>
      <c r="AU6">
        <v>54043</v>
      </c>
      <c r="AV6">
        <v>53222</v>
      </c>
      <c r="AW6">
        <v>52402</v>
      </c>
      <c r="AX6">
        <v>51581</v>
      </c>
      <c r="AY6">
        <v>50760</v>
      </c>
      <c r="AZ6">
        <v>49940</v>
      </c>
      <c r="BA6">
        <v>49119</v>
      </c>
      <c r="BB6">
        <v>48298</v>
      </c>
      <c r="BC6">
        <v>47478</v>
      </c>
      <c r="BD6">
        <v>46657</v>
      </c>
      <c r="BE6">
        <v>45836</v>
      </c>
      <c r="BF6">
        <v>45015</v>
      </c>
      <c r="BG6">
        <v>44195</v>
      </c>
      <c r="BH6">
        <v>43374</v>
      </c>
      <c r="BI6">
        <v>42553</v>
      </c>
      <c r="BJ6">
        <v>41733</v>
      </c>
      <c r="BK6">
        <v>40912</v>
      </c>
      <c r="BL6">
        <v>40092</v>
      </c>
      <c r="BM6">
        <v>39271</v>
      </c>
      <c r="BN6">
        <v>38450</v>
      </c>
      <c r="BO6">
        <v>37630</v>
      </c>
      <c r="BP6" s="255"/>
      <c r="BQ6" s="255"/>
      <c r="BR6" s="255"/>
      <c r="BS6" s="255"/>
    </row>
    <row r="7" spans="1:71" x14ac:dyDescent="0.25">
      <c r="A7" s="255"/>
      <c r="B7" s="339"/>
      <c r="C7" s="315"/>
      <c r="D7" s="238">
        <f t="shared" si="0"/>
        <v>0</v>
      </c>
      <c r="E7" s="315"/>
      <c r="F7" s="238">
        <f t="shared" si="1"/>
        <v>0</v>
      </c>
      <c r="G7" s="315"/>
      <c r="H7" s="238">
        <f t="shared" ref="H7:H25" si="2">B7*G7</f>
        <v>0</v>
      </c>
      <c r="I7" s="315"/>
      <c r="J7" s="255"/>
      <c r="K7" s="315"/>
      <c r="L7" s="323"/>
      <c r="M7" s="291">
        <v>1</v>
      </c>
      <c r="N7" s="243">
        <f t="shared" ref="N7:N25" si="3">IFERROR((K7/L7)*M7,0)</f>
        <v>0</v>
      </c>
      <c r="O7" s="255"/>
      <c r="P7" s="239" t="s">
        <v>133</v>
      </c>
      <c r="Q7" s="248">
        <f>IFERROR(N27/B27,0)</f>
        <v>0.63489536994633766</v>
      </c>
      <c r="R7" s="258"/>
      <c r="S7" s="258"/>
      <c r="T7" s="255"/>
      <c r="U7" s="282">
        <v>15500</v>
      </c>
      <c r="V7" s="276">
        <v>6188</v>
      </c>
      <c r="W7" s="276">
        <v>5502</v>
      </c>
      <c r="X7" s="276">
        <v>4817</v>
      </c>
      <c r="Y7" s="276">
        <v>4131</v>
      </c>
      <c r="Z7" s="276">
        <v>3445</v>
      </c>
      <c r="AA7" s="276">
        <v>2760</v>
      </c>
      <c r="AB7" s="276">
        <v>2074</v>
      </c>
      <c r="AC7" s="276">
        <v>1388</v>
      </c>
      <c r="AD7" s="276">
        <v>0</v>
      </c>
      <c r="AE7" s="255"/>
      <c r="AF7" s="255"/>
      <c r="AG7" s="255"/>
      <c r="AH7" s="255"/>
      <c r="AI7" s="255"/>
      <c r="AJ7" s="255"/>
      <c r="AK7" s="282">
        <v>7.7</v>
      </c>
      <c r="AL7">
        <v>61597</v>
      </c>
      <c r="AM7">
        <v>60765</v>
      </c>
      <c r="AN7">
        <v>59932</v>
      </c>
      <c r="AO7">
        <v>59100</v>
      </c>
      <c r="AP7">
        <v>58269</v>
      </c>
      <c r="AQ7">
        <v>57435</v>
      </c>
      <c r="AR7">
        <v>56602</v>
      </c>
      <c r="AS7">
        <v>55770</v>
      </c>
      <c r="AT7">
        <v>54938</v>
      </c>
      <c r="AU7">
        <v>54107</v>
      </c>
      <c r="AV7">
        <v>53272</v>
      </c>
      <c r="AW7">
        <v>52440</v>
      </c>
      <c r="AX7">
        <v>51607</v>
      </c>
      <c r="AY7">
        <v>50775</v>
      </c>
      <c r="AZ7">
        <v>49942</v>
      </c>
      <c r="BA7">
        <v>49110</v>
      </c>
      <c r="BB7">
        <v>48277</v>
      </c>
      <c r="BC7">
        <v>47445</v>
      </c>
      <c r="BD7">
        <v>46613</v>
      </c>
      <c r="BE7">
        <v>45780</v>
      </c>
      <c r="BF7">
        <v>44947</v>
      </c>
      <c r="BG7">
        <v>44115</v>
      </c>
      <c r="BH7">
        <v>43282</v>
      </c>
      <c r="BI7">
        <v>42450</v>
      </c>
      <c r="BJ7">
        <v>41617</v>
      </c>
      <c r="BK7">
        <v>40785</v>
      </c>
      <c r="BL7">
        <v>39953</v>
      </c>
      <c r="BM7">
        <v>39120</v>
      </c>
      <c r="BN7">
        <v>38288</v>
      </c>
      <c r="BO7">
        <v>37456</v>
      </c>
      <c r="BP7" s="255"/>
      <c r="BQ7" s="255"/>
      <c r="BR7" s="255"/>
      <c r="BS7" s="255"/>
    </row>
    <row r="8" spans="1:71" x14ac:dyDescent="0.25">
      <c r="A8" s="255"/>
      <c r="B8" s="339"/>
      <c r="C8" s="315"/>
      <c r="D8" s="238">
        <f t="shared" si="0"/>
        <v>0</v>
      </c>
      <c r="E8" s="315"/>
      <c r="F8" s="238">
        <f t="shared" si="1"/>
        <v>0</v>
      </c>
      <c r="G8" s="315"/>
      <c r="H8" s="238">
        <f t="shared" si="2"/>
        <v>0</v>
      </c>
      <c r="I8" s="315"/>
      <c r="J8" s="255"/>
      <c r="K8" s="315"/>
      <c r="L8" s="323"/>
      <c r="M8" s="291">
        <v>1</v>
      </c>
      <c r="N8" s="243">
        <f t="shared" si="3"/>
        <v>0</v>
      </c>
      <c r="O8" s="255"/>
      <c r="P8" s="239" t="s">
        <v>134</v>
      </c>
      <c r="Q8" s="249">
        <f>0.8*Q7</f>
        <v>0.50791629595707011</v>
      </c>
      <c r="R8" s="262"/>
      <c r="S8" s="258"/>
      <c r="T8" s="255"/>
      <c r="U8" s="282">
        <v>16000</v>
      </c>
      <c r="V8" s="276">
        <v>6423</v>
      </c>
      <c r="W8" s="276">
        <v>5718</v>
      </c>
      <c r="X8" s="276">
        <v>5011</v>
      </c>
      <c r="Y8" s="276">
        <v>4303</v>
      </c>
      <c r="Z8" s="276">
        <v>3595</v>
      </c>
      <c r="AA8" s="276">
        <v>2887</v>
      </c>
      <c r="AB8" s="276">
        <v>2179</v>
      </c>
      <c r="AC8" s="276">
        <v>1472</v>
      </c>
      <c r="AD8" s="276">
        <v>0</v>
      </c>
      <c r="AE8" s="255"/>
      <c r="AF8" s="255"/>
      <c r="AG8" s="255"/>
      <c r="AH8" s="255"/>
      <c r="AI8" s="255"/>
      <c r="AJ8" s="255"/>
      <c r="AK8" s="282">
        <v>7.8</v>
      </c>
      <c r="AL8">
        <v>61776</v>
      </c>
      <c r="AM8">
        <v>60932</v>
      </c>
      <c r="AN8">
        <v>60087</v>
      </c>
      <c r="AO8">
        <v>59243</v>
      </c>
      <c r="AP8">
        <v>58399</v>
      </c>
      <c r="AQ8">
        <v>57554</v>
      </c>
      <c r="AR8">
        <v>56710</v>
      </c>
      <c r="AS8">
        <v>55866</v>
      </c>
      <c r="AT8">
        <v>55022</v>
      </c>
      <c r="AU8">
        <v>54177</v>
      </c>
      <c r="AV8">
        <v>53332</v>
      </c>
      <c r="AW8">
        <v>52488</v>
      </c>
      <c r="AX8">
        <v>51644</v>
      </c>
      <c r="AY8">
        <v>50799</v>
      </c>
      <c r="AZ8">
        <v>49955</v>
      </c>
      <c r="BA8">
        <v>49111</v>
      </c>
      <c r="BB8">
        <v>48267</v>
      </c>
      <c r="BC8">
        <v>47422</v>
      </c>
      <c r="BD8">
        <v>46578</v>
      </c>
      <c r="BE8">
        <v>45734</v>
      </c>
      <c r="BF8">
        <v>44889</v>
      </c>
      <c r="BG8">
        <v>44045</v>
      </c>
      <c r="BH8">
        <v>43201</v>
      </c>
      <c r="BI8">
        <v>42356</v>
      </c>
      <c r="BJ8">
        <v>41512</v>
      </c>
      <c r="BK8">
        <v>40668</v>
      </c>
      <c r="BL8">
        <v>39824</v>
      </c>
      <c r="BM8">
        <v>38980</v>
      </c>
      <c r="BN8">
        <v>38135</v>
      </c>
      <c r="BO8">
        <v>37291</v>
      </c>
      <c r="BP8" s="255"/>
      <c r="BQ8" s="255"/>
      <c r="BR8" s="255"/>
      <c r="BS8" s="255"/>
    </row>
    <row r="9" spans="1:71" x14ac:dyDescent="0.25">
      <c r="A9" s="255"/>
      <c r="B9" s="339"/>
      <c r="C9" s="315"/>
      <c r="D9" s="238">
        <f t="shared" si="0"/>
        <v>0</v>
      </c>
      <c r="E9" s="315"/>
      <c r="F9" s="238">
        <f t="shared" si="1"/>
        <v>0</v>
      </c>
      <c r="G9" s="315"/>
      <c r="H9" s="238">
        <f t="shared" si="2"/>
        <v>0</v>
      </c>
      <c r="I9" s="315"/>
      <c r="J9" s="255"/>
      <c r="K9" s="315"/>
      <c r="L9" s="323"/>
      <c r="M9" s="291">
        <v>1</v>
      </c>
      <c r="N9" s="243">
        <f t="shared" si="3"/>
        <v>0</v>
      </c>
      <c r="O9" s="255"/>
      <c r="P9" s="239" t="s">
        <v>135</v>
      </c>
      <c r="Q9" s="240"/>
      <c r="R9" s="240"/>
      <c r="S9" s="248">
        <f>F29 - L30*SIN(RADIANS(40)) - ABS(G27)*COS(RADIANS(40))</f>
        <v>2.2154567601845594</v>
      </c>
      <c r="T9" s="255"/>
      <c r="U9" s="282">
        <v>16500</v>
      </c>
      <c r="V9" s="276">
        <v>6692</v>
      </c>
      <c r="W9" s="276">
        <v>5962</v>
      </c>
      <c r="X9" s="276">
        <v>5232</v>
      </c>
      <c r="Y9" s="276">
        <v>4502</v>
      </c>
      <c r="Z9" s="276">
        <v>3773</v>
      </c>
      <c r="AA9" s="276">
        <v>3043</v>
      </c>
      <c r="AB9" s="276">
        <v>2313</v>
      </c>
      <c r="AC9" s="276">
        <v>1583</v>
      </c>
      <c r="AD9" s="276">
        <v>0</v>
      </c>
      <c r="AE9" s="255"/>
      <c r="AF9" s="255"/>
      <c r="AG9" s="255"/>
      <c r="AH9" s="255"/>
      <c r="AI9" s="255"/>
      <c r="AJ9" s="255"/>
      <c r="AK9" s="282">
        <v>7.9</v>
      </c>
      <c r="AL9">
        <v>61966</v>
      </c>
      <c r="AM9">
        <v>61110</v>
      </c>
      <c r="AN9">
        <v>60254</v>
      </c>
      <c r="AO9">
        <v>59397</v>
      </c>
      <c r="AP9">
        <v>58541</v>
      </c>
      <c r="AQ9">
        <v>57685</v>
      </c>
      <c r="AR9">
        <v>56829</v>
      </c>
      <c r="AS9">
        <v>55973</v>
      </c>
      <c r="AT9">
        <v>55117</v>
      </c>
      <c r="AU9">
        <v>54260</v>
      </c>
      <c r="AV9">
        <v>53404</v>
      </c>
      <c r="AW9">
        <v>52547</v>
      </c>
      <c r="AX9">
        <v>51691</v>
      </c>
      <c r="AY9">
        <v>50835</v>
      </c>
      <c r="AZ9">
        <v>49979</v>
      </c>
      <c r="BA9">
        <v>49123</v>
      </c>
      <c r="BB9">
        <v>48267</v>
      </c>
      <c r="BC9">
        <v>47411</v>
      </c>
      <c r="BD9">
        <v>46555</v>
      </c>
      <c r="BE9">
        <v>45698</v>
      </c>
      <c r="BF9">
        <v>44842</v>
      </c>
      <c r="BG9">
        <v>43986</v>
      </c>
      <c r="BH9">
        <v>43130</v>
      </c>
      <c r="BI9">
        <v>42274</v>
      </c>
      <c r="BJ9">
        <v>41418</v>
      </c>
      <c r="BK9">
        <v>40502</v>
      </c>
      <c r="BL9">
        <v>39705</v>
      </c>
      <c r="BM9">
        <v>38849</v>
      </c>
      <c r="BN9">
        <v>37993</v>
      </c>
      <c r="BO9">
        <v>37137</v>
      </c>
      <c r="BP9" s="255"/>
      <c r="BQ9" s="255"/>
      <c r="BR9" s="255"/>
      <c r="BS9" s="255"/>
    </row>
    <row r="10" spans="1:71" x14ac:dyDescent="0.25">
      <c r="A10" s="255"/>
      <c r="B10" s="339"/>
      <c r="C10" s="315"/>
      <c r="D10" s="238">
        <f t="shared" si="0"/>
        <v>0</v>
      </c>
      <c r="E10" s="315"/>
      <c r="F10" s="238">
        <f t="shared" si="1"/>
        <v>0</v>
      </c>
      <c r="G10" s="315"/>
      <c r="H10" s="238">
        <f t="shared" si="2"/>
        <v>0</v>
      </c>
      <c r="I10" s="315"/>
      <c r="J10" s="255"/>
      <c r="K10" s="315"/>
      <c r="L10" s="323"/>
      <c r="M10" s="291">
        <v>1</v>
      </c>
      <c r="N10" s="243">
        <f t="shared" si="3"/>
        <v>0</v>
      </c>
      <c r="O10" s="255"/>
      <c r="P10" s="239" t="s">
        <v>490</v>
      </c>
      <c r="Q10" s="240"/>
      <c r="R10" s="251">
        <f>IFERROR(((S9-Q8)*(40-R5))/2*(PI()/180),0)</f>
        <v>0.45008177299035346</v>
      </c>
      <c r="S10" s="259" t="s">
        <v>136</v>
      </c>
      <c r="T10" s="255"/>
      <c r="U10" s="282">
        <v>17000</v>
      </c>
      <c r="V10" s="276">
        <v>6988</v>
      </c>
      <c r="W10" s="276">
        <v>6236</v>
      </c>
      <c r="X10" s="276">
        <v>5484</v>
      </c>
      <c r="Y10" s="276">
        <v>4732</v>
      </c>
      <c r="Z10" s="276">
        <v>3980</v>
      </c>
      <c r="AA10" s="276">
        <v>3228</v>
      </c>
      <c r="AB10" s="276">
        <v>2476</v>
      </c>
      <c r="AC10" s="276">
        <v>1724</v>
      </c>
      <c r="AD10" s="276">
        <v>171</v>
      </c>
      <c r="AE10" s="255"/>
      <c r="AF10" s="255"/>
      <c r="AG10" s="255"/>
      <c r="AH10" s="255"/>
      <c r="AI10" s="255"/>
      <c r="AJ10" s="255"/>
      <c r="AK10" s="282">
        <v>8</v>
      </c>
      <c r="AL10">
        <v>62180</v>
      </c>
      <c r="AM10">
        <v>61312</v>
      </c>
      <c r="AN10">
        <v>60444</v>
      </c>
      <c r="AO10">
        <v>59576</v>
      </c>
      <c r="AP10">
        <v>58708</v>
      </c>
      <c r="AQ10">
        <v>57840</v>
      </c>
      <c r="AR10">
        <v>56972</v>
      </c>
      <c r="AS10">
        <v>56104</v>
      </c>
      <c r="AT10">
        <v>55236</v>
      </c>
      <c r="AU10">
        <v>54368</v>
      </c>
      <c r="AV10">
        <v>53500</v>
      </c>
      <c r="AW10">
        <v>52632</v>
      </c>
      <c r="AX10">
        <v>51764</v>
      </c>
      <c r="AY10">
        <v>50896</v>
      </c>
      <c r="AZ10">
        <v>50025</v>
      </c>
      <c r="BA10">
        <v>49159</v>
      </c>
      <c r="BB10">
        <v>48292</v>
      </c>
      <c r="BC10">
        <v>47423</v>
      </c>
      <c r="BD10">
        <v>46556</v>
      </c>
      <c r="BE10">
        <v>45687</v>
      </c>
      <c r="BF10">
        <v>44816</v>
      </c>
      <c r="BG10">
        <v>43951</v>
      </c>
      <c r="BH10">
        <v>43083</v>
      </c>
      <c r="BI10">
        <v>42215</v>
      </c>
      <c r="BJ10">
        <v>41347</v>
      </c>
      <c r="BK10">
        <v>40479</v>
      </c>
      <c r="BL10">
        <v>39611</v>
      </c>
      <c r="BM10">
        <v>38743</v>
      </c>
      <c r="BN10">
        <v>37875</v>
      </c>
      <c r="BO10">
        <v>37007</v>
      </c>
      <c r="BP10" s="255"/>
      <c r="BQ10" s="255"/>
      <c r="BR10" s="255"/>
      <c r="BS10" s="255"/>
    </row>
    <row r="11" spans="1:71" x14ac:dyDescent="0.25">
      <c r="A11" s="255"/>
      <c r="B11" s="339"/>
      <c r="C11" s="315"/>
      <c r="D11" s="238">
        <f t="shared" si="0"/>
        <v>0</v>
      </c>
      <c r="E11" s="315"/>
      <c r="F11" s="238">
        <f t="shared" si="1"/>
        <v>0</v>
      </c>
      <c r="G11" s="315"/>
      <c r="H11" s="238">
        <f t="shared" si="2"/>
        <v>0</v>
      </c>
      <c r="I11" s="315"/>
      <c r="J11" s="255"/>
      <c r="K11" s="315"/>
      <c r="L11" s="323"/>
      <c r="M11" s="291">
        <v>1</v>
      </c>
      <c r="N11" s="243">
        <f t="shared" si="3"/>
        <v>0</v>
      </c>
      <c r="O11" s="255"/>
      <c r="P11" s="261"/>
      <c r="Q11" s="261"/>
      <c r="R11" s="258"/>
      <c r="S11" s="258"/>
      <c r="T11" s="255"/>
      <c r="U11" s="282">
        <v>17500</v>
      </c>
      <c r="V11" s="276">
        <v>7313</v>
      </c>
      <c r="W11" s="276">
        <v>6539</v>
      </c>
      <c r="X11" s="276">
        <v>5765</v>
      </c>
      <c r="Y11" s="276">
        <v>4991</v>
      </c>
      <c r="Z11" s="276">
        <v>4217</v>
      </c>
      <c r="AA11" s="276">
        <v>3443</v>
      </c>
      <c r="AB11" s="276">
        <v>2669</v>
      </c>
      <c r="AC11" s="276">
        <v>1895</v>
      </c>
      <c r="AD11" s="276">
        <v>1472</v>
      </c>
      <c r="AE11" s="255"/>
      <c r="AF11" s="255"/>
      <c r="AG11" s="255"/>
      <c r="AH11" s="255"/>
      <c r="AI11" s="255"/>
      <c r="AJ11" s="255"/>
      <c r="AK11" s="282">
        <v>8.1</v>
      </c>
      <c r="AL11">
        <v>62394</v>
      </c>
      <c r="AM11">
        <v>61514</v>
      </c>
      <c r="AN11">
        <v>60635</v>
      </c>
      <c r="AO11">
        <v>59755</v>
      </c>
      <c r="AP11">
        <v>58875</v>
      </c>
      <c r="AQ11">
        <v>57995</v>
      </c>
      <c r="AR11">
        <v>57115</v>
      </c>
      <c r="AS11">
        <v>56235</v>
      </c>
      <c r="AT11">
        <v>55355</v>
      </c>
      <c r="AU11">
        <v>54475</v>
      </c>
      <c r="AV11">
        <v>53594</v>
      </c>
      <c r="AW11">
        <v>52715</v>
      </c>
      <c r="AX11">
        <v>51835</v>
      </c>
      <c r="AY11">
        <v>50955</v>
      </c>
      <c r="AZ11">
        <v>50075</v>
      </c>
      <c r="BA11">
        <v>49195</v>
      </c>
      <c r="BB11">
        <v>48315</v>
      </c>
      <c r="BC11">
        <v>47435</v>
      </c>
      <c r="BD11">
        <v>46555</v>
      </c>
      <c r="BE11">
        <v>45675</v>
      </c>
      <c r="BF11">
        <v>44795</v>
      </c>
      <c r="BG11">
        <v>43915</v>
      </c>
      <c r="BH11">
        <v>43035</v>
      </c>
      <c r="BI11">
        <v>42155</v>
      </c>
      <c r="BJ11">
        <v>41275</v>
      </c>
      <c r="BK11">
        <v>40395</v>
      </c>
      <c r="BL11">
        <v>39516</v>
      </c>
      <c r="BM11">
        <v>38636</v>
      </c>
      <c r="BN11">
        <v>37756</v>
      </c>
      <c r="BO11">
        <v>36876</v>
      </c>
      <c r="BP11" s="255"/>
      <c r="BQ11" s="255"/>
      <c r="BR11" s="255"/>
      <c r="BS11" s="255"/>
    </row>
    <row r="12" spans="1:71" x14ac:dyDescent="0.25">
      <c r="A12" s="255"/>
      <c r="B12" s="339"/>
      <c r="C12" s="315"/>
      <c r="D12" s="238">
        <f t="shared" si="0"/>
        <v>0</v>
      </c>
      <c r="E12" s="315"/>
      <c r="F12" s="238">
        <f t="shared" si="1"/>
        <v>0</v>
      </c>
      <c r="G12" s="315"/>
      <c r="H12" s="238">
        <f t="shared" si="2"/>
        <v>0</v>
      </c>
      <c r="I12" s="315"/>
      <c r="J12" s="255"/>
      <c r="K12" s="315"/>
      <c r="L12" s="323"/>
      <c r="M12" s="291">
        <v>1</v>
      </c>
      <c r="N12" s="243">
        <f t="shared" si="3"/>
        <v>0</v>
      </c>
      <c r="O12" s="255"/>
      <c r="P12" s="258"/>
      <c r="Q12" s="258"/>
      <c r="R12" s="258"/>
      <c r="S12" s="258"/>
      <c r="T12" s="255"/>
      <c r="U12" s="282">
        <v>18000</v>
      </c>
      <c r="V12" s="276">
        <v>7669</v>
      </c>
      <c r="W12" s="276">
        <v>6873</v>
      </c>
      <c r="X12" s="276">
        <v>6076</v>
      </c>
      <c r="Y12" s="276">
        <v>5280</v>
      </c>
      <c r="Z12" s="276">
        <v>4484</v>
      </c>
      <c r="AA12" s="276">
        <v>3687</v>
      </c>
      <c r="AB12" s="276">
        <v>2893</v>
      </c>
      <c r="AC12" s="276">
        <v>2089</v>
      </c>
      <c r="AD12" s="276">
        <v>1700</v>
      </c>
      <c r="AE12" s="255"/>
      <c r="AF12" s="255"/>
      <c r="AG12" s="255"/>
      <c r="AH12" s="255"/>
      <c r="AI12" s="255"/>
      <c r="AJ12" s="255"/>
      <c r="AK12" s="282">
        <v>8.1999999999999993</v>
      </c>
      <c r="AL12">
        <v>62618</v>
      </c>
      <c r="AM12">
        <v>61726</v>
      </c>
      <c r="AN12">
        <v>60834</v>
      </c>
      <c r="AO12">
        <v>59942</v>
      </c>
      <c r="AP12">
        <v>59051</v>
      </c>
      <c r="AQ12">
        <v>58159</v>
      </c>
      <c r="AR12">
        <v>57267</v>
      </c>
      <c r="AS12">
        <v>56375</v>
      </c>
      <c r="AT12">
        <v>55483</v>
      </c>
      <c r="AU12">
        <v>54591</v>
      </c>
      <c r="AV12">
        <v>53699</v>
      </c>
      <c r="AW12">
        <v>52807</v>
      </c>
      <c r="AX12">
        <v>51915</v>
      </c>
      <c r="AY12">
        <v>51023</v>
      </c>
      <c r="AZ12">
        <v>50131</v>
      </c>
      <c r="BA12">
        <v>49239</v>
      </c>
      <c r="BB12">
        <v>48348</v>
      </c>
      <c r="BC12">
        <v>47456</v>
      </c>
      <c r="BD12">
        <v>46564</v>
      </c>
      <c r="BE12">
        <v>45672</v>
      </c>
      <c r="BF12">
        <v>44780</v>
      </c>
      <c r="BG12">
        <v>43888</v>
      </c>
      <c r="BH12">
        <v>42966</v>
      </c>
      <c r="BI12">
        <v>42104</v>
      </c>
      <c r="BJ12">
        <v>41213</v>
      </c>
      <c r="BK12">
        <v>40321</v>
      </c>
      <c r="BL12">
        <v>39429</v>
      </c>
      <c r="BM12">
        <v>38537</v>
      </c>
      <c r="BN12">
        <v>37645</v>
      </c>
      <c r="BO12">
        <v>36754</v>
      </c>
      <c r="BP12" s="255"/>
      <c r="BQ12" s="255"/>
      <c r="BR12" s="255"/>
      <c r="BS12" s="255"/>
    </row>
    <row r="13" spans="1:71" x14ac:dyDescent="0.25">
      <c r="A13" s="255"/>
      <c r="B13" s="339"/>
      <c r="C13" s="315"/>
      <c r="D13" s="238">
        <f t="shared" si="0"/>
        <v>0</v>
      </c>
      <c r="E13" s="315"/>
      <c r="F13" s="238">
        <f t="shared" si="1"/>
        <v>0</v>
      </c>
      <c r="G13" s="315"/>
      <c r="H13" s="238">
        <f t="shared" si="2"/>
        <v>0</v>
      </c>
      <c r="I13" s="315"/>
      <c r="J13" s="255"/>
      <c r="K13" s="315"/>
      <c r="L13" s="323"/>
      <c r="M13" s="291">
        <v>1</v>
      </c>
      <c r="N13" s="243">
        <f t="shared" si="3"/>
        <v>0</v>
      </c>
      <c r="O13" s="255"/>
      <c r="P13" s="255"/>
      <c r="Q13" s="365" t="s">
        <v>454</v>
      </c>
      <c r="R13" s="255"/>
      <c r="S13" s="255"/>
      <c r="T13" s="255"/>
      <c r="U13" s="282">
        <v>18500</v>
      </c>
      <c r="V13" s="276">
        <v>8054</v>
      </c>
      <c r="W13" s="276">
        <v>7236</v>
      </c>
      <c r="X13" s="276">
        <v>6418</v>
      </c>
      <c r="Y13" s="276">
        <v>5599</v>
      </c>
      <c r="Z13" s="276">
        <v>4779</v>
      </c>
      <c r="AA13" s="276">
        <v>3966</v>
      </c>
      <c r="AB13" s="276">
        <v>3135</v>
      </c>
      <c r="AC13" s="276">
        <v>2357</v>
      </c>
      <c r="AD13" s="276">
        <v>1811</v>
      </c>
      <c r="AE13" s="255"/>
      <c r="AF13" s="255"/>
      <c r="AG13" s="255"/>
      <c r="AH13" s="255"/>
      <c r="AI13" s="255"/>
      <c r="AJ13" s="255"/>
      <c r="AK13" s="282">
        <v>8.3000000000000007</v>
      </c>
      <c r="AL13">
        <v>62852</v>
      </c>
      <c r="AM13">
        <v>61949</v>
      </c>
      <c r="AN13">
        <v>61045</v>
      </c>
      <c r="AO13">
        <v>60141</v>
      </c>
      <c r="AP13">
        <v>59237</v>
      </c>
      <c r="AQ13">
        <v>58333</v>
      </c>
      <c r="AR13">
        <v>57429</v>
      </c>
      <c r="AS13">
        <v>56525</v>
      </c>
      <c r="AT13">
        <v>55622</v>
      </c>
      <c r="AU13">
        <v>54718</v>
      </c>
      <c r="AV13">
        <v>53813</v>
      </c>
      <c r="AW13">
        <v>52910</v>
      </c>
      <c r="AX13">
        <v>52006</v>
      </c>
      <c r="AY13">
        <v>51102</v>
      </c>
      <c r="AZ13">
        <v>50198</v>
      </c>
      <c r="BA13">
        <v>49294</v>
      </c>
      <c r="BB13">
        <v>48391</v>
      </c>
      <c r="BC13">
        <v>47487</v>
      </c>
      <c r="BD13">
        <v>46583</v>
      </c>
      <c r="BE13">
        <v>45679</v>
      </c>
      <c r="BF13">
        <v>44775</v>
      </c>
      <c r="BG13">
        <v>43871</v>
      </c>
      <c r="BH13">
        <v>42967</v>
      </c>
      <c r="BI13">
        <v>42064</v>
      </c>
      <c r="BJ13">
        <v>41160</v>
      </c>
      <c r="BK13">
        <v>40256</v>
      </c>
      <c r="BL13">
        <v>39352</v>
      </c>
      <c r="BM13">
        <v>38449</v>
      </c>
      <c r="BN13">
        <v>37545</v>
      </c>
      <c r="BO13">
        <v>36641</v>
      </c>
      <c r="BP13" s="255"/>
      <c r="BQ13" s="255"/>
      <c r="BR13" s="255"/>
      <c r="BS13" s="255"/>
    </row>
    <row r="14" spans="1:71" x14ac:dyDescent="0.25">
      <c r="A14" s="255"/>
      <c r="B14" s="315"/>
      <c r="C14" s="315"/>
      <c r="D14" s="238">
        <f t="shared" si="0"/>
        <v>0</v>
      </c>
      <c r="E14" s="315"/>
      <c r="F14" s="238">
        <f t="shared" si="1"/>
        <v>0</v>
      </c>
      <c r="G14" s="315"/>
      <c r="H14" s="238">
        <f t="shared" si="2"/>
        <v>0</v>
      </c>
      <c r="I14" s="315"/>
      <c r="J14" s="255"/>
      <c r="K14" s="315"/>
      <c r="L14" s="323"/>
      <c r="M14" s="291">
        <v>1</v>
      </c>
      <c r="N14" s="243">
        <f t="shared" si="3"/>
        <v>0</v>
      </c>
      <c r="O14" s="255"/>
      <c r="P14" s="255"/>
      <c r="Q14" s="255"/>
      <c r="R14" s="255"/>
      <c r="S14" s="255"/>
      <c r="T14" s="255"/>
      <c r="U14" s="282">
        <v>19000</v>
      </c>
      <c r="V14" s="276">
        <v>8471</v>
      </c>
      <c r="W14" s="276">
        <v>7629</v>
      </c>
      <c r="X14" s="276">
        <v>6788</v>
      </c>
      <c r="Y14" s="276">
        <v>5951</v>
      </c>
      <c r="Z14" s="276">
        <v>5115</v>
      </c>
      <c r="AA14" s="276">
        <v>4255</v>
      </c>
      <c r="AB14" s="276">
        <v>3459</v>
      </c>
      <c r="AC14" s="276">
        <v>2405</v>
      </c>
      <c r="AD14" s="276">
        <v>1623</v>
      </c>
      <c r="AE14" s="255"/>
      <c r="AF14" s="255"/>
      <c r="AG14" s="255"/>
      <c r="AH14" s="255"/>
      <c r="AI14" s="255"/>
      <c r="AJ14" s="255"/>
      <c r="AK14" s="282">
        <v>8.4</v>
      </c>
      <c r="AL14">
        <v>63097</v>
      </c>
      <c r="AM14">
        <v>62181</v>
      </c>
      <c r="AN14">
        <v>61265</v>
      </c>
      <c r="AO14">
        <v>60349</v>
      </c>
      <c r="AP14">
        <v>59433</v>
      </c>
      <c r="AQ14">
        <v>58518</v>
      </c>
      <c r="AR14">
        <v>57602</v>
      </c>
      <c r="AS14">
        <v>56686</v>
      </c>
      <c r="AT14">
        <v>55770</v>
      </c>
      <c r="AU14">
        <v>54854</v>
      </c>
      <c r="AV14">
        <v>53938</v>
      </c>
      <c r="AW14">
        <v>53022</v>
      </c>
      <c r="AX14">
        <v>52107</v>
      </c>
      <c r="AY14">
        <v>51191</v>
      </c>
      <c r="AZ14">
        <v>50275</v>
      </c>
      <c r="BA14">
        <v>49359</v>
      </c>
      <c r="BB14">
        <v>48443</v>
      </c>
      <c r="BC14">
        <v>47528</v>
      </c>
      <c r="BD14">
        <v>46612</v>
      </c>
      <c r="BE14">
        <v>45696</v>
      </c>
      <c r="BF14">
        <v>44780</v>
      </c>
      <c r="BG14">
        <v>43864</v>
      </c>
      <c r="BH14">
        <v>42948</v>
      </c>
      <c r="BI14">
        <v>42032</v>
      </c>
      <c r="BJ14">
        <v>41117</v>
      </c>
      <c r="BK14">
        <v>40201</v>
      </c>
      <c r="BL14">
        <v>39285</v>
      </c>
      <c r="BM14">
        <v>38369</v>
      </c>
      <c r="BN14">
        <v>37454</v>
      </c>
      <c r="BO14">
        <v>36538</v>
      </c>
      <c r="BP14" s="255"/>
      <c r="BQ14" s="255"/>
      <c r="BR14" s="255"/>
      <c r="BS14" s="255"/>
    </row>
    <row r="15" spans="1:71" x14ac:dyDescent="0.25">
      <c r="A15" s="255"/>
      <c r="B15" s="315"/>
      <c r="C15" s="315"/>
      <c r="D15" s="238">
        <f t="shared" si="0"/>
        <v>0</v>
      </c>
      <c r="E15" s="315"/>
      <c r="F15" s="238">
        <f t="shared" si="1"/>
        <v>0</v>
      </c>
      <c r="G15" s="315"/>
      <c r="H15" s="238">
        <f>B15*G15</f>
        <v>0</v>
      </c>
      <c r="I15" s="315"/>
      <c r="J15" s="255"/>
      <c r="K15" s="315"/>
      <c r="L15" s="323"/>
      <c r="M15" s="291">
        <v>1</v>
      </c>
      <c r="N15" s="243">
        <f t="shared" si="3"/>
        <v>0</v>
      </c>
      <c r="O15" s="255"/>
      <c r="P15" s="239" t="s">
        <v>362</v>
      </c>
      <c r="Q15" s="327">
        <v>9.375</v>
      </c>
      <c r="R15" s="239" t="s">
        <v>363</v>
      </c>
      <c r="S15" s="328"/>
      <c r="T15" s="255"/>
      <c r="U15" s="282">
        <v>19500</v>
      </c>
      <c r="V15" s="276">
        <v>8913</v>
      </c>
      <c r="W15" s="276">
        <v>8053</v>
      </c>
      <c r="X15" s="276">
        <v>7193</v>
      </c>
      <c r="Y15" s="276">
        <v>6319</v>
      </c>
      <c r="Z15" s="276">
        <v>5445</v>
      </c>
      <c r="AA15" s="276">
        <v>4637</v>
      </c>
      <c r="AB15" s="276">
        <v>3621</v>
      </c>
      <c r="AC15" s="276">
        <v>2142</v>
      </c>
      <c r="AD15" s="276">
        <v>1282</v>
      </c>
      <c r="AE15" s="255"/>
      <c r="AF15" s="255"/>
      <c r="AG15" s="255"/>
      <c r="AH15" s="255"/>
      <c r="AI15" s="255"/>
      <c r="AJ15" s="255"/>
      <c r="AK15" s="282">
        <v>8.5</v>
      </c>
      <c r="AL15">
        <v>63352</v>
      </c>
      <c r="AM15">
        <v>62424</v>
      </c>
      <c r="AN15">
        <v>61496</v>
      </c>
      <c r="AO15">
        <v>60568</v>
      </c>
      <c r="AP15">
        <v>59640</v>
      </c>
      <c r="AQ15">
        <v>58713</v>
      </c>
      <c r="AR15">
        <v>57785</v>
      </c>
      <c r="AS15">
        <v>56857</v>
      </c>
      <c r="AT15">
        <v>55929</v>
      </c>
      <c r="AU15">
        <v>55001</v>
      </c>
      <c r="AV15">
        <v>54073</v>
      </c>
      <c r="AW15">
        <v>53145</v>
      </c>
      <c r="AX15">
        <v>52217</v>
      </c>
      <c r="AY15">
        <v>51290</v>
      </c>
      <c r="AZ15">
        <v>50362</v>
      </c>
      <c r="BA15">
        <v>49434</v>
      </c>
      <c r="BB15">
        <v>48506</v>
      </c>
      <c r="BC15">
        <v>47578</v>
      </c>
      <c r="BD15">
        <v>46651</v>
      </c>
      <c r="BE15">
        <v>45723</v>
      </c>
      <c r="BF15">
        <v>44794</v>
      </c>
      <c r="BG15">
        <v>43867</v>
      </c>
      <c r="BH15">
        <v>42939</v>
      </c>
      <c r="BI15">
        <v>42011</v>
      </c>
      <c r="BJ15">
        <v>41083</v>
      </c>
      <c r="BK15">
        <v>40156</v>
      </c>
      <c r="BL15">
        <v>39228</v>
      </c>
      <c r="BM15">
        <v>38300</v>
      </c>
      <c r="BN15">
        <v>37372</v>
      </c>
      <c r="BO15">
        <v>36445</v>
      </c>
      <c r="BP15" s="255"/>
      <c r="BQ15" s="255"/>
      <c r="BR15" s="255"/>
      <c r="BS15" s="255"/>
    </row>
    <row r="16" spans="1:71" x14ac:dyDescent="0.25">
      <c r="A16" s="255"/>
      <c r="B16" s="315"/>
      <c r="C16" s="315"/>
      <c r="D16" s="238">
        <f t="shared" si="0"/>
        <v>0</v>
      </c>
      <c r="E16" s="315"/>
      <c r="F16" s="238">
        <f t="shared" si="1"/>
        <v>0</v>
      </c>
      <c r="G16" s="315"/>
      <c r="H16" s="238">
        <f t="shared" si="2"/>
        <v>0</v>
      </c>
      <c r="I16" s="315"/>
      <c r="J16" s="255"/>
      <c r="K16" s="315"/>
      <c r="L16" s="323"/>
      <c r="M16" s="291">
        <v>1</v>
      </c>
      <c r="N16" s="243">
        <f t="shared" si="3"/>
        <v>0</v>
      </c>
      <c r="O16" s="255"/>
      <c r="P16" s="239" t="s">
        <v>364</v>
      </c>
      <c r="Q16" s="315">
        <v>9</v>
      </c>
      <c r="R16" s="315">
        <v>10</v>
      </c>
      <c r="S16" s="239" t="s">
        <v>123</v>
      </c>
      <c r="T16" s="255"/>
      <c r="U16" s="282">
        <v>20000</v>
      </c>
      <c r="V16" s="276">
        <v>9362</v>
      </c>
      <c r="W16" s="276">
        <v>8472</v>
      </c>
      <c r="X16" s="276">
        <v>7582</v>
      </c>
      <c r="Y16" s="276">
        <v>6721</v>
      </c>
      <c r="Z16" s="276">
        <v>5859</v>
      </c>
      <c r="AA16" s="276">
        <v>4855</v>
      </c>
      <c r="AB16" s="276">
        <v>3389</v>
      </c>
      <c r="AC16" s="276">
        <v>1758</v>
      </c>
      <c r="AD16" s="276">
        <v>971</v>
      </c>
      <c r="AE16" s="255"/>
      <c r="AF16" s="255"/>
      <c r="AG16" s="255"/>
      <c r="AH16" s="255"/>
      <c r="AI16" s="255"/>
      <c r="AJ16" s="255"/>
      <c r="AK16" s="282">
        <v>8.6</v>
      </c>
      <c r="AL16">
        <v>63618</v>
      </c>
      <c r="AM16">
        <v>62678</v>
      </c>
      <c r="AN16">
        <v>61738</v>
      </c>
      <c r="AO16">
        <v>60799</v>
      </c>
      <c r="AP16">
        <v>59859</v>
      </c>
      <c r="AQ16">
        <v>58919</v>
      </c>
      <c r="AR16">
        <v>57979</v>
      </c>
      <c r="AS16">
        <v>57039</v>
      </c>
      <c r="AT16">
        <v>56099</v>
      </c>
      <c r="AU16">
        <v>55100</v>
      </c>
      <c r="AV16">
        <v>54219</v>
      </c>
      <c r="AW16">
        <v>53279</v>
      </c>
      <c r="AX16">
        <v>52339</v>
      </c>
      <c r="AY16">
        <v>51400</v>
      </c>
      <c r="AZ16">
        <v>50460</v>
      </c>
      <c r="BA16">
        <v>49520</v>
      </c>
      <c r="BB16">
        <v>48580</v>
      </c>
      <c r="BC16">
        <v>47640</v>
      </c>
      <c r="BD16">
        <v>46700</v>
      </c>
      <c r="BE16">
        <v>45761</v>
      </c>
      <c r="BF16">
        <v>44820</v>
      </c>
      <c r="BG16">
        <v>43880</v>
      </c>
      <c r="BH16">
        <v>42941</v>
      </c>
      <c r="BI16">
        <v>42001</v>
      </c>
      <c r="BJ16">
        <v>41061</v>
      </c>
      <c r="BK16">
        <v>40121</v>
      </c>
      <c r="BL16">
        <v>39181</v>
      </c>
      <c r="BM16">
        <v>38242</v>
      </c>
      <c r="BN16">
        <v>37302</v>
      </c>
      <c r="BO16">
        <v>36362</v>
      </c>
      <c r="BP16" s="255"/>
      <c r="BQ16" s="255"/>
      <c r="BR16" s="255"/>
      <c r="BS16" s="255"/>
    </row>
    <row r="17" spans="1:71" x14ac:dyDescent="0.25">
      <c r="A17" s="255"/>
      <c r="B17" s="315"/>
      <c r="C17" s="315"/>
      <c r="D17" s="238">
        <f t="shared" ref="D17:D25" si="4">B17*C17</f>
        <v>0</v>
      </c>
      <c r="E17" s="315"/>
      <c r="F17" s="238">
        <f t="shared" ref="F17:F25" si="5">B17*E17</f>
        <v>0</v>
      </c>
      <c r="G17" s="315"/>
      <c r="H17" s="238">
        <f t="shared" si="2"/>
        <v>0</v>
      </c>
      <c r="I17" s="315"/>
      <c r="J17" s="255"/>
      <c r="K17" s="315"/>
      <c r="L17" s="323"/>
      <c r="M17" s="291">
        <v>1</v>
      </c>
      <c r="N17" s="243">
        <f t="shared" si="3"/>
        <v>0</v>
      </c>
      <c r="O17" s="255"/>
      <c r="P17" s="315"/>
      <c r="Q17" s="319">
        <v>1.27</v>
      </c>
      <c r="R17" s="319">
        <v>1.19</v>
      </c>
      <c r="S17" s="244">
        <f>IFERROR(Q17+(((R17-Q17)*(Q15-Q16))/(R16-Q16)),0)</f>
        <v>1.24</v>
      </c>
      <c r="T17" s="255"/>
      <c r="U17" s="282">
        <v>20500</v>
      </c>
      <c r="V17" s="276">
        <v>9841</v>
      </c>
      <c r="W17" s="276">
        <v>8917</v>
      </c>
      <c r="X17" s="276">
        <v>8014</v>
      </c>
      <c r="Y17" s="276">
        <v>7092</v>
      </c>
      <c r="Z17" s="276">
        <v>6142</v>
      </c>
      <c r="AA17" s="276">
        <v>5452</v>
      </c>
      <c r="AB17" s="276">
        <v>2917</v>
      </c>
      <c r="AC17" s="276">
        <v>1382</v>
      </c>
      <c r="AD17" s="276">
        <v>673</v>
      </c>
      <c r="AE17" s="255"/>
      <c r="AF17" s="255"/>
      <c r="AG17" s="255"/>
      <c r="AH17" s="255"/>
      <c r="AI17" s="255"/>
      <c r="AJ17" s="255"/>
      <c r="AK17" s="282">
        <v>8.6999999999999993</v>
      </c>
      <c r="AL17">
        <v>63894</v>
      </c>
      <c r="AM17">
        <v>62942</v>
      </c>
      <c r="AN17">
        <v>61991</v>
      </c>
      <c r="AO17">
        <v>61039</v>
      </c>
      <c r="AP17">
        <v>60087</v>
      </c>
      <c r="AQ17">
        <v>59135</v>
      </c>
      <c r="AR17">
        <v>58183</v>
      </c>
      <c r="AS17">
        <v>57231</v>
      </c>
      <c r="AT17">
        <v>56279</v>
      </c>
      <c r="AU17">
        <v>55327</v>
      </c>
      <c r="AV17">
        <v>54375</v>
      </c>
      <c r="AW17">
        <v>53423</v>
      </c>
      <c r="AX17">
        <v>52471</v>
      </c>
      <c r="AY17">
        <v>51519</v>
      </c>
      <c r="AZ17">
        <v>50567</v>
      </c>
      <c r="BA17">
        <v>49615</v>
      </c>
      <c r="BB17">
        <v>48663</v>
      </c>
      <c r="BC17">
        <v>47712</v>
      </c>
      <c r="BD17">
        <v>46760</v>
      </c>
      <c r="BE17">
        <v>45808</v>
      </c>
      <c r="BF17">
        <v>44855</v>
      </c>
      <c r="BG17">
        <v>43904</v>
      </c>
      <c r="BH17">
        <v>42952</v>
      </c>
      <c r="BI17">
        <v>42000</v>
      </c>
      <c r="BJ17">
        <v>41048</v>
      </c>
      <c r="BK17">
        <v>40096</v>
      </c>
      <c r="BL17">
        <v>39144</v>
      </c>
      <c r="BM17">
        <v>38193</v>
      </c>
      <c r="BN17">
        <v>37241</v>
      </c>
      <c r="BO17">
        <v>36289</v>
      </c>
      <c r="BP17" s="255"/>
      <c r="BQ17" s="255"/>
      <c r="BR17" s="255"/>
      <c r="BS17" s="255"/>
    </row>
    <row r="18" spans="1:71" x14ac:dyDescent="0.25">
      <c r="A18" s="255"/>
      <c r="B18" s="315"/>
      <c r="C18" s="315"/>
      <c r="D18" s="238">
        <f t="shared" si="4"/>
        <v>0</v>
      </c>
      <c r="E18" s="315"/>
      <c r="F18" s="238">
        <f t="shared" si="5"/>
        <v>0</v>
      </c>
      <c r="G18" s="315"/>
      <c r="H18" s="238">
        <f t="shared" si="2"/>
        <v>0</v>
      </c>
      <c r="I18" s="315"/>
      <c r="J18" s="255"/>
      <c r="K18" s="315"/>
      <c r="L18" s="323"/>
      <c r="M18" s="291">
        <v>1</v>
      </c>
      <c r="N18" s="243">
        <f t="shared" si="3"/>
        <v>0</v>
      </c>
      <c r="O18" s="255"/>
      <c r="P18" s="315"/>
      <c r="Q18" s="319"/>
      <c r="R18" s="319"/>
      <c r="S18" s="302">
        <f>IFERROR(Q18+(((R18-Q18)*(Q15-Q16))/(R16-Q16)),0)</f>
        <v>0</v>
      </c>
      <c r="T18" s="255"/>
      <c r="U18" s="282">
        <v>21000</v>
      </c>
      <c r="V18" s="276">
        <v>10290</v>
      </c>
      <c r="W18" s="276">
        <v>9389</v>
      </c>
      <c r="X18" s="276">
        <v>8487</v>
      </c>
      <c r="Y18" s="276">
        <v>7053</v>
      </c>
      <c r="Z18" s="276">
        <v>5541</v>
      </c>
      <c r="AA18" s="276">
        <v>3932</v>
      </c>
      <c r="AB18" s="276">
        <v>2421</v>
      </c>
      <c r="AC18" s="276">
        <v>1022</v>
      </c>
      <c r="AD18" s="276">
        <v>91</v>
      </c>
      <c r="AE18" s="255"/>
      <c r="AF18" s="255"/>
      <c r="AG18" s="255"/>
      <c r="AH18" s="255"/>
      <c r="AI18" s="255"/>
      <c r="AJ18" s="255"/>
      <c r="AK18" s="282">
        <v>8.8000000000000007</v>
      </c>
      <c r="AL18">
        <v>64180</v>
      </c>
      <c r="AM18">
        <v>63216</v>
      </c>
      <c r="AN18">
        <v>62252</v>
      </c>
      <c r="AO18">
        <v>61288</v>
      </c>
      <c r="AP18">
        <v>60324</v>
      </c>
      <c r="AQ18">
        <v>59360</v>
      </c>
      <c r="AR18">
        <v>58396</v>
      </c>
      <c r="AS18">
        <v>57432</v>
      </c>
      <c r="AT18">
        <v>56468</v>
      </c>
      <c r="AU18">
        <v>55504</v>
      </c>
      <c r="AV18">
        <v>54539</v>
      </c>
      <c r="AW18">
        <v>53575</v>
      </c>
      <c r="AX18">
        <v>52611</v>
      </c>
      <c r="AY18">
        <v>51647</v>
      </c>
      <c r="AZ18">
        <v>50683</v>
      </c>
      <c r="BA18">
        <v>49713</v>
      </c>
      <c r="BB18">
        <v>48755</v>
      </c>
      <c r="BC18">
        <v>47791</v>
      </c>
      <c r="BD18">
        <v>46827</v>
      </c>
      <c r="BE18">
        <v>45863</v>
      </c>
      <c r="BF18">
        <v>44939</v>
      </c>
      <c r="BG18">
        <v>43935</v>
      </c>
      <c r="BH18">
        <v>42971</v>
      </c>
      <c r="BI18">
        <v>42007</v>
      </c>
      <c r="BJ18">
        <v>41043</v>
      </c>
      <c r="BK18">
        <v>40079</v>
      </c>
      <c r="BL18">
        <v>39115</v>
      </c>
      <c r="BM18">
        <v>38151</v>
      </c>
      <c r="BN18">
        <v>37188</v>
      </c>
      <c r="BO18">
        <v>36224</v>
      </c>
      <c r="BP18" s="255"/>
      <c r="BQ18" s="255"/>
      <c r="BR18" s="255"/>
      <c r="BS18" s="255"/>
    </row>
    <row r="19" spans="1:71" x14ac:dyDescent="0.25">
      <c r="A19" s="255"/>
      <c r="B19" s="315">
        <v>1025</v>
      </c>
      <c r="C19" s="315">
        <v>13.34</v>
      </c>
      <c r="D19" s="238">
        <f t="shared" si="4"/>
        <v>13673.5</v>
      </c>
      <c r="E19" s="315"/>
      <c r="F19" s="238">
        <f t="shared" si="5"/>
        <v>0</v>
      </c>
      <c r="G19" s="315">
        <v>-1.97</v>
      </c>
      <c r="H19" s="238">
        <f t="shared" si="2"/>
        <v>-2019.25</v>
      </c>
      <c r="I19" s="315">
        <v>1801.9</v>
      </c>
      <c r="J19" s="255"/>
      <c r="K19" s="315"/>
      <c r="L19" s="323"/>
      <c r="M19" s="291">
        <v>1</v>
      </c>
      <c r="N19" s="243">
        <f t="shared" si="3"/>
        <v>0</v>
      </c>
      <c r="O19" s="255"/>
      <c r="P19" s="245" t="s">
        <v>124</v>
      </c>
      <c r="Q19" s="244">
        <f>IFERROR(S17+(((S15-P17)*(S18-S17))/(P18-P17)),0)</f>
        <v>0</v>
      </c>
      <c r="R19" s="258"/>
      <c r="S19" s="261"/>
      <c r="T19" s="255"/>
      <c r="U19" s="282">
        <v>21500</v>
      </c>
      <c r="V19" s="276">
        <v>10529</v>
      </c>
      <c r="W19" s="276">
        <v>9216</v>
      </c>
      <c r="X19" s="276">
        <v>7902</v>
      </c>
      <c r="Y19" s="276">
        <v>6321</v>
      </c>
      <c r="Z19" s="276">
        <v>4770</v>
      </c>
      <c r="AA19" s="276">
        <v>3309</v>
      </c>
      <c r="AB19" s="276">
        <v>1911</v>
      </c>
      <c r="AC19" s="276">
        <v>664</v>
      </c>
      <c r="AD19" s="276">
        <v>0</v>
      </c>
      <c r="AE19" s="255"/>
      <c r="AF19" s="255"/>
      <c r="AG19" s="255"/>
      <c r="AH19" s="255"/>
      <c r="AI19" s="255"/>
      <c r="AJ19" s="255"/>
      <c r="AK19" s="282">
        <v>8.9</v>
      </c>
      <c r="AL19">
        <v>64475</v>
      </c>
      <c r="AM19">
        <v>63499</v>
      </c>
      <c r="AN19">
        <v>62523</v>
      </c>
      <c r="AO19">
        <v>61547</v>
      </c>
      <c r="AP19">
        <v>60571</v>
      </c>
      <c r="AQ19">
        <v>59595</v>
      </c>
      <c r="AR19">
        <v>58619</v>
      </c>
      <c r="AS19">
        <v>57643</v>
      </c>
      <c r="AT19">
        <v>56666</v>
      </c>
      <c r="AU19">
        <v>55690</v>
      </c>
      <c r="AV19">
        <v>54714</v>
      </c>
      <c r="AW19">
        <v>53738</v>
      </c>
      <c r="AX19">
        <v>52762</v>
      </c>
      <c r="AY19">
        <v>51785</v>
      </c>
      <c r="AZ19">
        <v>50809</v>
      </c>
      <c r="BA19">
        <v>49833</v>
      </c>
      <c r="BB19">
        <v>48857</v>
      </c>
      <c r="BC19">
        <v>47881</v>
      </c>
      <c r="BD19">
        <v>46905</v>
      </c>
      <c r="BE19">
        <v>45929</v>
      </c>
      <c r="BF19">
        <v>44952</v>
      </c>
      <c r="BG19">
        <v>43976</v>
      </c>
      <c r="BH19">
        <v>43000</v>
      </c>
      <c r="BI19">
        <v>42024</v>
      </c>
      <c r="BJ19">
        <v>41048</v>
      </c>
      <c r="BK19">
        <v>40072</v>
      </c>
      <c r="BL19">
        <v>39096</v>
      </c>
      <c r="BM19">
        <v>38120</v>
      </c>
      <c r="BN19">
        <v>37144</v>
      </c>
      <c r="BO19">
        <v>36168</v>
      </c>
      <c r="BP19" s="255"/>
      <c r="BQ19" s="255"/>
      <c r="BR19" s="255"/>
      <c r="BS19" s="255"/>
    </row>
    <row r="20" spans="1:71" x14ac:dyDescent="0.25">
      <c r="A20" s="255"/>
      <c r="B20" s="315">
        <v>11044.1</v>
      </c>
      <c r="C20" s="315">
        <v>11.85</v>
      </c>
      <c r="D20" s="238">
        <f t="shared" si="4"/>
        <v>130872.58500000001</v>
      </c>
      <c r="E20" s="315"/>
      <c r="F20" s="238">
        <f t="shared" si="5"/>
        <v>0</v>
      </c>
      <c r="G20" s="315"/>
      <c r="H20" s="238">
        <f t="shared" si="2"/>
        <v>0</v>
      </c>
      <c r="I20" s="315"/>
      <c r="J20" s="255"/>
      <c r="K20" s="315"/>
      <c r="L20" s="323"/>
      <c r="M20" s="291">
        <v>1</v>
      </c>
      <c r="N20" s="243">
        <f t="shared" si="3"/>
        <v>0</v>
      </c>
      <c r="O20" s="255"/>
      <c r="P20" s="258"/>
      <c r="Q20" s="258"/>
      <c r="R20" s="258"/>
      <c r="S20" s="258"/>
      <c r="T20" s="255"/>
      <c r="U20" s="255"/>
      <c r="V20" s="255"/>
      <c r="W20" s="255"/>
      <c r="X20" s="255"/>
      <c r="Y20" s="255"/>
      <c r="Z20" s="255"/>
      <c r="AA20" s="255"/>
      <c r="AB20" s="255"/>
      <c r="AC20" s="255"/>
      <c r="AD20" s="255"/>
      <c r="AE20" s="255"/>
      <c r="AF20" s="255"/>
      <c r="AG20" s="255"/>
      <c r="AH20" s="255"/>
      <c r="AI20" s="255"/>
      <c r="AJ20" s="255"/>
      <c r="AK20" s="282">
        <v>9</v>
      </c>
      <c r="AL20">
        <v>64781</v>
      </c>
      <c r="AM20">
        <v>63792</v>
      </c>
      <c r="AN20">
        <v>62804</v>
      </c>
      <c r="AO20">
        <v>61816</v>
      </c>
      <c r="AP20">
        <v>60827</v>
      </c>
      <c r="AQ20">
        <v>59839</v>
      </c>
      <c r="AR20">
        <v>58851</v>
      </c>
      <c r="AS20">
        <v>57863</v>
      </c>
      <c r="AT20">
        <v>56874</v>
      </c>
      <c r="AU20">
        <v>55836</v>
      </c>
      <c r="AV20">
        <v>54897</v>
      </c>
      <c r="AW20">
        <v>53909</v>
      </c>
      <c r="AX20">
        <v>52921</v>
      </c>
      <c r="AY20">
        <v>51933</v>
      </c>
      <c r="AZ20">
        <v>50944</v>
      </c>
      <c r="BA20">
        <v>49956</v>
      </c>
      <c r="BB20">
        <v>48968</v>
      </c>
      <c r="BC20">
        <v>47980</v>
      </c>
      <c r="BD20">
        <v>46991</v>
      </c>
      <c r="BE20">
        <v>46003</v>
      </c>
      <c r="BF20">
        <v>45014</v>
      </c>
      <c r="BG20">
        <v>44026</v>
      </c>
      <c r="BH20">
        <v>43038</v>
      </c>
      <c r="BI20">
        <v>42050</v>
      </c>
      <c r="BJ20">
        <v>41062</v>
      </c>
      <c r="BK20">
        <v>40073</v>
      </c>
      <c r="BL20">
        <v>39085</v>
      </c>
      <c r="BM20">
        <v>38097</v>
      </c>
      <c r="BN20">
        <v>37109</v>
      </c>
      <c r="BO20">
        <v>36121</v>
      </c>
      <c r="BP20" s="255"/>
      <c r="BQ20" s="255"/>
      <c r="BR20" s="255"/>
      <c r="BS20" s="255"/>
    </row>
    <row r="21" spans="1:71" x14ac:dyDescent="0.25">
      <c r="A21" s="239" t="s">
        <v>476</v>
      </c>
      <c r="B21" s="315">
        <v>10620.8</v>
      </c>
      <c r="C21" s="274">
        <f>R41</f>
        <v>10.119999999999999</v>
      </c>
      <c r="D21" s="238">
        <f t="shared" si="4"/>
        <v>107482.49599999998</v>
      </c>
      <c r="E21" s="315"/>
      <c r="F21" s="238">
        <f t="shared" si="5"/>
        <v>0</v>
      </c>
      <c r="G21" s="315"/>
      <c r="H21" s="238">
        <f t="shared" si="2"/>
        <v>0</v>
      </c>
      <c r="I21" s="315"/>
      <c r="J21" s="239" t="s">
        <v>476</v>
      </c>
      <c r="K21" s="363">
        <f>Q41</f>
        <v>536</v>
      </c>
      <c r="L21" s="323">
        <v>1.1704857044436792</v>
      </c>
      <c r="M21" s="291">
        <v>1</v>
      </c>
      <c r="N21" s="243">
        <f t="shared" si="3"/>
        <v>457.92955690540089</v>
      </c>
      <c r="O21" s="255"/>
      <c r="P21" s="258"/>
      <c r="Q21" s="258"/>
      <c r="R21" s="258"/>
      <c r="S21" s="258"/>
      <c r="T21" s="255"/>
      <c r="U21" s="255"/>
      <c r="V21" s="255"/>
      <c r="W21" s="255"/>
      <c r="X21" s="255"/>
      <c r="Y21" s="255"/>
      <c r="Z21" s="255"/>
      <c r="AA21" s="255"/>
      <c r="AB21" s="255"/>
      <c r="AC21" s="255"/>
      <c r="AD21" s="255"/>
      <c r="AE21" s="255"/>
      <c r="AF21" s="255"/>
      <c r="AG21" s="255"/>
      <c r="AH21" s="255"/>
      <c r="AI21" s="255"/>
      <c r="AJ21" s="255"/>
      <c r="AK21" s="282">
        <v>9.1</v>
      </c>
      <c r="AL21">
        <v>65068</v>
      </c>
      <c r="AM21">
        <v>64067</v>
      </c>
      <c r="AN21">
        <v>63067</v>
      </c>
      <c r="AO21">
        <v>62066</v>
      </c>
      <c r="AP21">
        <v>61061</v>
      </c>
      <c r="AQ21">
        <v>60065</v>
      </c>
      <c r="AR21">
        <v>59065</v>
      </c>
      <c r="AS21">
        <v>58055</v>
      </c>
      <c r="AT21">
        <v>57064</v>
      </c>
      <c r="AU21">
        <v>56064</v>
      </c>
      <c r="AV21">
        <v>55063</v>
      </c>
      <c r="AW21">
        <v>54062</v>
      </c>
      <c r="AX21">
        <v>53062</v>
      </c>
      <c r="AY21">
        <v>52062</v>
      </c>
      <c r="AZ21">
        <v>51061</v>
      </c>
      <c r="BA21">
        <v>50061</v>
      </c>
      <c r="BB21">
        <v>49061</v>
      </c>
      <c r="BC21">
        <v>48060</v>
      </c>
      <c r="BD21">
        <v>47060</v>
      </c>
      <c r="BE21">
        <v>46059</v>
      </c>
      <c r="BF21">
        <v>45059</v>
      </c>
      <c r="BG21">
        <v>44058</v>
      </c>
      <c r="BH21">
        <v>43058</v>
      </c>
      <c r="BI21">
        <v>42057</v>
      </c>
      <c r="BJ21">
        <v>41057</v>
      </c>
      <c r="BK21">
        <v>40057</v>
      </c>
      <c r="BL21">
        <v>39056</v>
      </c>
      <c r="BM21">
        <v>38056</v>
      </c>
      <c r="BN21">
        <v>37056</v>
      </c>
      <c r="BO21">
        <v>36056</v>
      </c>
      <c r="BP21" s="255"/>
      <c r="BQ21" s="255"/>
      <c r="BR21" s="255"/>
      <c r="BS21" s="255"/>
    </row>
    <row r="22" spans="1:71" x14ac:dyDescent="0.25">
      <c r="A22" s="239" t="s">
        <v>477</v>
      </c>
      <c r="B22" s="315">
        <v>8914.2999999999993</v>
      </c>
      <c r="C22" s="274">
        <f t="shared" ref="C22:C25" si="6">R42</f>
        <v>8.029540159411404</v>
      </c>
      <c r="D22" s="238">
        <f t="shared" si="4"/>
        <v>71577.729843041074</v>
      </c>
      <c r="E22" s="315"/>
      <c r="F22" s="238">
        <f t="shared" si="5"/>
        <v>0</v>
      </c>
      <c r="G22" s="315"/>
      <c r="H22" s="238">
        <f t="shared" si="2"/>
        <v>0</v>
      </c>
      <c r="I22" s="315"/>
      <c r="J22" s="239" t="s">
        <v>477</v>
      </c>
      <c r="K22" s="363">
        <f>Q42</f>
        <v>21778.996934396073</v>
      </c>
      <c r="L22" s="323">
        <v>1.1147482899463612</v>
      </c>
      <c r="M22" s="291">
        <v>1</v>
      </c>
      <c r="N22" s="243">
        <f t="shared" si="3"/>
        <v>19537.143165695299</v>
      </c>
      <c r="O22" s="255"/>
      <c r="P22" s="258"/>
      <c r="Q22" s="308" t="s">
        <v>389</v>
      </c>
      <c r="R22" s="255"/>
      <c r="S22" s="255"/>
      <c r="T22" s="255"/>
      <c r="U22" s="255"/>
      <c r="V22" s="255"/>
      <c r="W22" s="255"/>
      <c r="X22" s="255"/>
      <c r="Y22" s="255"/>
      <c r="Z22" s="314" t="s">
        <v>402</v>
      </c>
      <c r="AA22" s="255"/>
      <c r="AB22" s="255"/>
      <c r="AC22" s="255"/>
      <c r="AD22" s="255"/>
      <c r="AE22" s="255"/>
      <c r="AF22" s="255"/>
      <c r="AG22" s="255"/>
      <c r="AH22" s="255"/>
      <c r="AI22" s="255"/>
      <c r="AJ22" s="255"/>
      <c r="AK22" s="282">
        <v>9.1999999999999993</v>
      </c>
      <c r="AL22">
        <v>65392</v>
      </c>
      <c r="AM22">
        <v>64379</v>
      </c>
      <c r="AN22">
        <v>63367</v>
      </c>
      <c r="AO22">
        <v>62354</v>
      </c>
      <c r="AP22">
        <v>61342</v>
      </c>
      <c r="AQ22">
        <v>60329</v>
      </c>
      <c r="AR22">
        <v>59316</v>
      </c>
      <c r="AS22">
        <v>58304</v>
      </c>
      <c r="AT22">
        <v>57291</v>
      </c>
      <c r="AU22">
        <v>56279</v>
      </c>
      <c r="AV22">
        <v>55266</v>
      </c>
      <c r="AW22">
        <v>54253</v>
      </c>
      <c r="AX22">
        <v>53240</v>
      </c>
      <c r="AY22">
        <v>52228</v>
      </c>
      <c r="AZ22">
        <v>51215</v>
      </c>
      <c r="BA22">
        <v>50203</v>
      </c>
      <c r="BB22">
        <v>49190</v>
      </c>
      <c r="BC22">
        <v>48178</v>
      </c>
      <c r="BD22">
        <v>47165</v>
      </c>
      <c r="BE22">
        <v>46153</v>
      </c>
      <c r="BF22">
        <v>45139</v>
      </c>
      <c r="BG22">
        <v>44127</v>
      </c>
      <c r="BH22">
        <v>43114</v>
      </c>
      <c r="BI22">
        <v>42102</v>
      </c>
      <c r="BJ22">
        <v>41089</v>
      </c>
      <c r="BK22">
        <v>40077</v>
      </c>
      <c r="BL22">
        <v>39064</v>
      </c>
      <c r="BM22">
        <v>38052</v>
      </c>
      <c r="BN22">
        <v>37039</v>
      </c>
      <c r="BO22">
        <v>36027</v>
      </c>
      <c r="BP22" s="255"/>
      <c r="BQ22" s="255"/>
      <c r="BR22" s="255"/>
      <c r="BS22" s="255"/>
    </row>
    <row r="23" spans="1:71" x14ac:dyDescent="0.25">
      <c r="A23" s="239" t="s">
        <v>478</v>
      </c>
      <c r="B23" s="315">
        <v>11406.6</v>
      </c>
      <c r="C23" s="274">
        <f t="shared" si="6"/>
        <v>10.210000000000001</v>
      </c>
      <c r="D23" s="238">
        <f t="shared" si="4"/>
        <v>116461.38600000001</v>
      </c>
      <c r="E23" s="315"/>
      <c r="F23" s="238">
        <f t="shared" si="5"/>
        <v>0</v>
      </c>
      <c r="G23" s="315"/>
      <c r="H23" s="238">
        <f t="shared" si="2"/>
        <v>0</v>
      </c>
      <c r="I23" s="315"/>
      <c r="J23" s="239" t="s">
        <v>478</v>
      </c>
      <c r="K23" s="363">
        <f t="shared" ref="K23:K25" si="7">Q43</f>
        <v>688</v>
      </c>
      <c r="L23" s="323">
        <v>1.1704857044436792</v>
      </c>
      <c r="M23" s="291">
        <v>1</v>
      </c>
      <c r="N23" s="243">
        <f t="shared" si="3"/>
        <v>587.79017752036532</v>
      </c>
      <c r="O23" s="255"/>
      <c r="P23" s="255"/>
      <c r="Q23" s="255"/>
      <c r="R23" s="255"/>
      <c r="S23" s="255"/>
      <c r="T23" s="255"/>
      <c r="U23" s="255"/>
      <c r="V23" s="255"/>
      <c r="W23" s="255"/>
      <c r="X23" s="255"/>
      <c r="Y23" s="255"/>
      <c r="Z23" s="255"/>
      <c r="AA23" s="255"/>
      <c r="AB23" s="255"/>
      <c r="AC23" s="255"/>
      <c r="AD23" s="255"/>
      <c r="AE23" s="255"/>
      <c r="AF23" s="255"/>
      <c r="AG23" s="255"/>
      <c r="AH23" s="255"/>
      <c r="AI23" s="255"/>
      <c r="AJ23" s="255"/>
      <c r="AK23" s="282">
        <v>9.3000000000000007</v>
      </c>
      <c r="AL23">
        <v>65726</v>
      </c>
      <c r="AM23">
        <v>64701</v>
      </c>
      <c r="AN23">
        <v>63676</v>
      </c>
      <c r="AO23">
        <v>62651</v>
      </c>
      <c r="AP23">
        <v>61627</v>
      </c>
      <c r="AQ23">
        <v>60602</v>
      </c>
      <c r="AR23">
        <v>59577</v>
      </c>
      <c r="AS23">
        <v>58552</v>
      </c>
      <c r="AT23">
        <v>57528</v>
      </c>
      <c r="AU23">
        <v>56503</v>
      </c>
      <c r="AV23">
        <v>55477</v>
      </c>
      <c r="AW23">
        <v>54452</v>
      </c>
      <c r="AX23">
        <v>53428</v>
      </c>
      <c r="AY23">
        <v>52403</v>
      </c>
      <c r="AZ23">
        <v>51378</v>
      </c>
      <c r="BA23">
        <v>50353</v>
      </c>
      <c r="BB23">
        <v>49329</v>
      </c>
      <c r="BC23">
        <v>48304</v>
      </c>
      <c r="BD23">
        <v>47279</v>
      </c>
      <c r="BE23">
        <v>46254</v>
      </c>
      <c r="BF23">
        <v>45229</v>
      </c>
      <c r="BG23">
        <v>44204</v>
      </c>
      <c r="BH23">
        <v>43179</v>
      </c>
      <c r="BI23">
        <v>42155</v>
      </c>
      <c r="BJ23">
        <v>41130</v>
      </c>
      <c r="BK23">
        <v>40105</v>
      </c>
      <c r="BL23">
        <v>39081</v>
      </c>
      <c r="BM23">
        <v>38056</v>
      </c>
      <c r="BN23">
        <v>37031</v>
      </c>
      <c r="BO23">
        <v>36007</v>
      </c>
      <c r="BP23" s="255"/>
      <c r="BQ23" s="255"/>
      <c r="BR23" s="255"/>
      <c r="BS23" s="255"/>
    </row>
    <row r="24" spans="1:71" x14ac:dyDescent="0.25">
      <c r="A24" s="239" t="s">
        <v>479</v>
      </c>
      <c r="B24" s="315">
        <v>9048.7000000000007</v>
      </c>
      <c r="C24" s="274">
        <f t="shared" si="6"/>
        <v>8.1181835323695797</v>
      </c>
      <c r="D24" s="238">
        <f t="shared" si="4"/>
        <v>73459.007329352622</v>
      </c>
      <c r="E24" s="315"/>
      <c r="F24" s="238">
        <f t="shared" si="5"/>
        <v>0</v>
      </c>
      <c r="G24" s="315"/>
      <c r="H24" s="238">
        <f t="shared" si="2"/>
        <v>0</v>
      </c>
      <c r="I24" s="315"/>
      <c r="J24" s="239" t="s">
        <v>479</v>
      </c>
      <c r="K24" s="363">
        <f t="shared" si="7"/>
        <v>21266.140791954746</v>
      </c>
      <c r="L24" s="323">
        <v>1.1147482899463612</v>
      </c>
      <c r="M24" s="291">
        <v>1</v>
      </c>
      <c r="N24" s="243">
        <f t="shared" si="3"/>
        <v>19077.078640755768</v>
      </c>
      <c r="O24" s="255"/>
      <c r="P24" s="239" t="str">
        <f>IF(Q22="Pt. Da Buitra","D =","C =")</f>
        <v>C =</v>
      </c>
      <c r="Q24" s="290" t="str">
        <f>IF(Q22="Pt. Da Buitra",B27,"")</f>
        <v/>
      </c>
      <c r="R24" s="239" t="str">
        <f>IF(S32="Pt. Da Buitra","D =","C =")</f>
        <v>C =</v>
      </c>
      <c r="S24" s="351">
        <v>12.327</v>
      </c>
      <c r="T24" s="255"/>
      <c r="U24" s="239" t="s">
        <v>388</v>
      </c>
      <c r="V24" s="284">
        <v>50</v>
      </c>
      <c r="W24" s="284">
        <v>60</v>
      </c>
      <c r="X24" s="284">
        <v>70</v>
      </c>
      <c r="Y24" s="284">
        <v>80</v>
      </c>
      <c r="Z24" s="284">
        <v>90</v>
      </c>
      <c r="AA24" s="284">
        <v>100</v>
      </c>
      <c r="AB24" s="284">
        <v>120</v>
      </c>
      <c r="AC24" s="284">
        <v>140</v>
      </c>
      <c r="AD24" s="284">
        <v>160</v>
      </c>
      <c r="AE24" s="284">
        <v>180</v>
      </c>
      <c r="AF24" s="284">
        <v>200</v>
      </c>
      <c r="AG24" s="255"/>
      <c r="AH24" s="255"/>
      <c r="AI24" s="255"/>
      <c r="AJ24" s="255"/>
      <c r="AK24" s="282">
        <v>9.4</v>
      </c>
      <c r="AL24">
        <v>66069</v>
      </c>
      <c r="AM24">
        <v>65032</v>
      </c>
      <c r="AN24">
        <v>63995</v>
      </c>
      <c r="AO24">
        <v>62958</v>
      </c>
      <c r="AP24">
        <v>61921</v>
      </c>
      <c r="AQ24">
        <v>60884</v>
      </c>
      <c r="AR24">
        <v>59847</v>
      </c>
      <c r="AS24">
        <v>58810</v>
      </c>
      <c r="AT24">
        <v>57773</v>
      </c>
      <c r="AU24">
        <v>56736</v>
      </c>
      <c r="AV24">
        <v>55698</v>
      </c>
      <c r="AW24">
        <v>54661</v>
      </c>
      <c r="AX24">
        <v>53624</v>
      </c>
      <c r="AY24">
        <v>52587</v>
      </c>
      <c r="AZ24">
        <v>51550</v>
      </c>
      <c r="BA24">
        <v>50513</v>
      </c>
      <c r="BB24">
        <v>49476</v>
      </c>
      <c r="BC24">
        <v>48439</v>
      </c>
      <c r="BD24">
        <v>47402</v>
      </c>
      <c r="BE24">
        <v>46365</v>
      </c>
      <c r="BF24">
        <v>45327</v>
      </c>
      <c r="BG24">
        <v>44290</v>
      </c>
      <c r="BH24">
        <v>43254</v>
      </c>
      <c r="BI24">
        <v>42217</v>
      </c>
      <c r="BJ24">
        <v>41180</v>
      </c>
      <c r="BK24">
        <v>40143</v>
      </c>
      <c r="BL24">
        <v>39106</v>
      </c>
      <c r="BM24">
        <v>38069</v>
      </c>
      <c r="BN24">
        <v>37032</v>
      </c>
      <c r="BO24">
        <v>35995</v>
      </c>
      <c r="BP24" s="255"/>
      <c r="BQ24" s="255"/>
      <c r="BR24" s="255"/>
      <c r="BS24" s="255"/>
    </row>
    <row r="25" spans="1:71" x14ac:dyDescent="0.25">
      <c r="A25" s="239" t="s">
        <v>480</v>
      </c>
      <c r="B25" s="315">
        <v>11333.2</v>
      </c>
      <c r="C25" s="274">
        <f t="shared" si="6"/>
        <v>10.52</v>
      </c>
      <c r="D25" s="238">
        <f t="shared" si="4"/>
        <v>119225.264</v>
      </c>
      <c r="E25" s="315"/>
      <c r="F25" s="238">
        <f t="shared" si="5"/>
        <v>0</v>
      </c>
      <c r="G25" s="315"/>
      <c r="H25" s="238">
        <f t="shared" si="2"/>
        <v>0</v>
      </c>
      <c r="I25" s="315"/>
      <c r="J25" s="239" t="s">
        <v>480</v>
      </c>
      <c r="K25" s="363">
        <f t="shared" si="7"/>
        <v>688</v>
      </c>
      <c r="L25" s="323">
        <v>1.1704857044436792</v>
      </c>
      <c r="M25" s="291">
        <v>1</v>
      </c>
      <c r="N25" s="243">
        <f t="shared" si="3"/>
        <v>587.79017752036532</v>
      </c>
      <c r="O25" s="255"/>
      <c r="P25" s="239" t="s">
        <v>368</v>
      </c>
      <c r="Q25" s="289">
        <f>L30</f>
        <v>10.009888649203988</v>
      </c>
      <c r="R25" s="239" t="s">
        <v>368</v>
      </c>
      <c r="S25" s="315"/>
      <c r="T25" s="255"/>
      <c r="U25" s="282">
        <v>9</v>
      </c>
      <c r="V25">
        <v>1.2</v>
      </c>
      <c r="W25">
        <v>1.0900000000000001</v>
      </c>
      <c r="X25">
        <v>1</v>
      </c>
      <c r="Y25">
        <v>0.92</v>
      </c>
      <c r="Z25">
        <v>0.85</v>
      </c>
      <c r="AA25">
        <v>0.79</v>
      </c>
      <c r="AB25">
        <v>0.7</v>
      </c>
      <c r="AC25">
        <v>0.63</v>
      </c>
      <c r="AD25">
        <v>0.56999999999999995</v>
      </c>
      <c r="AE25">
        <v>0.53</v>
      </c>
      <c r="AF25">
        <v>0.49</v>
      </c>
      <c r="AG25" s="255"/>
      <c r="AH25" s="255"/>
      <c r="AI25" s="255"/>
      <c r="AJ25" s="255"/>
      <c r="AK25" s="282">
        <v>9.5</v>
      </c>
      <c r="AL25">
        <v>66421</v>
      </c>
      <c r="AM25">
        <v>65372</v>
      </c>
      <c r="AN25">
        <v>64323</v>
      </c>
      <c r="AO25">
        <v>63273</v>
      </c>
      <c r="AP25">
        <v>62224</v>
      </c>
      <c r="AQ25">
        <v>61175</v>
      </c>
      <c r="AR25">
        <v>60125</v>
      </c>
      <c r="AS25">
        <v>59076</v>
      </c>
      <c r="AT25">
        <v>58027</v>
      </c>
      <c r="AU25">
        <v>56978</v>
      </c>
      <c r="AV25">
        <v>55928</v>
      </c>
      <c r="AW25">
        <v>54879</v>
      </c>
      <c r="AX25">
        <v>53829</v>
      </c>
      <c r="AY25">
        <v>52780</v>
      </c>
      <c r="AZ25">
        <v>51731</v>
      </c>
      <c r="BA25">
        <v>50682</v>
      </c>
      <c r="BB25">
        <v>49633</v>
      </c>
      <c r="BC25">
        <v>48583</v>
      </c>
      <c r="BD25">
        <v>47534</v>
      </c>
      <c r="BE25">
        <v>46485</v>
      </c>
      <c r="BF25">
        <v>45435</v>
      </c>
      <c r="BG25">
        <v>44386</v>
      </c>
      <c r="BH25">
        <v>43337</v>
      </c>
      <c r="BI25">
        <v>42288</v>
      </c>
      <c r="BJ25">
        <v>41238</v>
      </c>
      <c r="BK25">
        <v>40189</v>
      </c>
      <c r="BL25">
        <v>39140</v>
      </c>
      <c r="BM25">
        <v>38091</v>
      </c>
      <c r="BN25">
        <v>37042</v>
      </c>
      <c r="BO25">
        <v>35993</v>
      </c>
      <c r="BP25" s="255"/>
      <c r="BQ25" s="255"/>
      <c r="BR25" s="255"/>
      <c r="BS25" s="255"/>
    </row>
    <row r="26" spans="1:71" x14ac:dyDescent="0.25">
      <c r="A26" s="255"/>
      <c r="B26" s="237" t="s">
        <v>114</v>
      </c>
      <c r="C26" s="237" t="s">
        <v>370</v>
      </c>
      <c r="D26" s="237" t="s">
        <v>116</v>
      </c>
      <c r="E26" s="237" t="s">
        <v>369</v>
      </c>
      <c r="F26" s="237" t="s">
        <v>115</v>
      </c>
      <c r="G26" s="237" t="s">
        <v>371</v>
      </c>
      <c r="H26" s="237" t="s">
        <v>122</v>
      </c>
      <c r="I26" s="237" t="s">
        <v>117</v>
      </c>
      <c r="J26" s="255"/>
      <c r="K26" s="255"/>
      <c r="L26" s="255"/>
      <c r="M26" s="255"/>
      <c r="N26" s="255"/>
      <c r="O26" s="255"/>
      <c r="P26" s="255"/>
      <c r="Q26" s="255"/>
      <c r="R26" s="255"/>
      <c r="S26" s="255"/>
      <c r="T26" s="255"/>
      <c r="U26" s="282">
        <v>12</v>
      </c>
      <c r="V26">
        <v>1.34</v>
      </c>
      <c r="W26">
        <v>1.22</v>
      </c>
      <c r="X26">
        <v>1.1200000000000001</v>
      </c>
      <c r="Y26">
        <v>1.03</v>
      </c>
      <c r="Z26">
        <v>0.96</v>
      </c>
      <c r="AA26">
        <v>0.9</v>
      </c>
      <c r="AB26">
        <v>0.79</v>
      </c>
      <c r="AC26">
        <v>0.72</v>
      </c>
      <c r="AD26">
        <v>0.65</v>
      </c>
      <c r="AE26">
        <v>0.6</v>
      </c>
      <c r="AF26">
        <v>0.56000000000000005</v>
      </c>
      <c r="AG26" s="255"/>
      <c r="AH26" s="255"/>
      <c r="AI26" s="255"/>
      <c r="AJ26" s="255"/>
      <c r="AK26" s="282">
        <v>9.6</v>
      </c>
      <c r="AL26">
        <v>66783</v>
      </c>
      <c r="AM26">
        <v>65722</v>
      </c>
      <c r="AN26">
        <v>64660</v>
      </c>
      <c r="AO26">
        <v>63599</v>
      </c>
      <c r="AP26">
        <v>62537</v>
      </c>
      <c r="AQ26">
        <v>61476</v>
      </c>
      <c r="AR26">
        <v>60414</v>
      </c>
      <c r="AS26">
        <v>59353</v>
      </c>
      <c r="AT26">
        <v>58291</v>
      </c>
      <c r="AU26">
        <v>57230</v>
      </c>
      <c r="AV26">
        <v>56167</v>
      </c>
      <c r="AW26">
        <v>55106</v>
      </c>
      <c r="AX26">
        <v>54044</v>
      </c>
      <c r="AY26">
        <v>52983</v>
      </c>
      <c r="AZ26">
        <v>51921</v>
      </c>
      <c r="BA26">
        <v>50860</v>
      </c>
      <c r="BB26">
        <v>49798</v>
      </c>
      <c r="BC26">
        <v>48737</v>
      </c>
      <c r="BD26">
        <v>47676</v>
      </c>
      <c r="BE26">
        <v>46614</v>
      </c>
      <c r="BF26">
        <v>45552</v>
      </c>
      <c r="BG26">
        <v>44491</v>
      </c>
      <c r="BH26">
        <v>43428</v>
      </c>
      <c r="BI26">
        <v>42368</v>
      </c>
      <c r="BJ26">
        <v>41306</v>
      </c>
      <c r="BK26">
        <v>40245</v>
      </c>
      <c r="BL26">
        <v>39184</v>
      </c>
      <c r="BM26">
        <v>38122</v>
      </c>
      <c r="BN26">
        <v>37061</v>
      </c>
      <c r="BO26">
        <v>36000</v>
      </c>
      <c r="BP26" s="255"/>
      <c r="BQ26" s="255"/>
      <c r="BR26" s="255"/>
      <c r="BS26" s="255"/>
    </row>
    <row r="27" spans="1:71" x14ac:dyDescent="0.25">
      <c r="A27" s="255"/>
      <c r="B27" s="242">
        <f>B5+B6+B7+B8+B9+B10+B11+B12+B13+B14+B15+B16+B17+B18+B19+B20+B21+B22+B23+B24+B25</f>
        <v>63392.7</v>
      </c>
      <c r="C27" s="241">
        <f>IFERROR(D27/B27,0)</f>
        <v>9.9814642407153134</v>
      </c>
      <c r="D27" s="242">
        <f t="shared" ref="D27:I27" si="8">D5+D6+D7+D8+D9+D10+D11+D12+D13+D14+D15+D16+D17+D18+D19+D20+D21+D22+D23+D24+D25</f>
        <v>632751.96817239362</v>
      </c>
      <c r="E27" s="241">
        <f>IFERROR(F27/B27,0)</f>
        <v>0</v>
      </c>
      <c r="F27" s="242">
        <f t="shared" si="8"/>
        <v>0</v>
      </c>
      <c r="G27" s="241">
        <f>IFERROR(H27/B27,0)</f>
        <v>-3.1853036706119157E-2</v>
      </c>
      <c r="H27" s="242">
        <f>H5+H6+H7+H8+H9+H10+H11+H12+H13+H14+H15+H16+H17+H18+H19+H20+H21+H22+H23+H24+H25</f>
        <v>-2019.25</v>
      </c>
      <c r="I27" s="238">
        <f t="shared" si="8"/>
        <v>1801.9</v>
      </c>
      <c r="J27" s="255"/>
      <c r="K27" s="239" t="s">
        <v>129</v>
      </c>
      <c r="L27" s="247">
        <f>C29-C27</f>
        <v>3.7058357592846871</v>
      </c>
      <c r="M27" s="255"/>
      <c r="N27" s="243">
        <f>N5+N6+N7+N8+N9+N10+N11+N12+N13+N14+N15+N16+N17+N18+N19+N20+N21+N22+N23+N24+N25</f>
        <v>40247.731718397197</v>
      </c>
      <c r="O27" s="305" t="s">
        <v>139</v>
      </c>
      <c r="P27" s="246" t="s">
        <v>126</v>
      </c>
      <c r="Q27" s="242" t="str" cm="1">
        <f t="array" ref="Q27">IF(Q22="Pt. Da Buitra",
  IF(OR(Q24="",Q25=""),"",
    IFERROR(
      (INDEX($V$6:$AD$19,MATCH(Q24,$U$6:$U$19,1),MATCH(Q25,$V$5:$AD$5,1))
      *(INDEX($V$5:$AD$5,MATCH(Q25,$V$5:$AD$5,1)+1)-Q25)
      *(INDEX($U$6:$U$19,MATCH(Q24,$U$6:$U$19,1)+1)-Q24)
      +
      INDEX($V$6:$AD$19,MATCH(Q24,$U$6:$U$19,1)+1,MATCH(Q25,$V$5:$AD$5,1))
      *(INDEX($V$5:$AD$5,MATCH(Q25,$V$5:$AD$5,1)+1)-Q25)
      *(Q24-INDEX($U$6:$U$19,MATCH(Q24,$U$6:$U$19,1)))
      +
      INDEX($V$6:$AD$19,MATCH(Q24,$U$6:$U$19,1),MATCH(Q25,$V$5:$AD$5,1)+1)
      *(Q25-INDEX($V$5:$AD$5,MATCH(Q25,$V$5:$AD$5,1)))
      *(INDEX($U$6:$U$19,MATCH(Q24,$U$6:$U$19,1)+1)-Q24)
      +
      INDEX($V$6:$AD$19,MATCH(Q24,$U$6:$U$19,1)+1,MATCH(Q25,$V$5:$AD$5,1)+1)
      *(Q25-INDEX($V$5:$AD$5,MATCH(Q25,$V$5:$AD$5,1)))
      *(Q24-INDEX($U$6:$U$19,MATCH(Q24,$U$6:$U$19,1))))
      /
      ((INDEX($V$5:$AD$5,MATCH(Q25,$V$5:$AD$5,1)+1)-INDEX($V$5:$AD$5,MATCH(Q25,$V$5:$AD$5,1)))
       *
       (INDEX($U$6:$U$19,MATCH(Q24,$U$6:$U$19,1)+1)-INDEX($U$6:$U$19,MATCH(Q24,$U$6:$U$19,1)))),0)),
  IF(Q22="Cormorán",
    IF(OR(Q24="",Q25=""),"",
      IFERROR(
        (INDEX($AL$5:$BO$60,MATCH(Q24,$AK$5:$AK$60,1),MATCH(Q25,$AL$4:$BO$4,1))
        *(INDEX($AL$4:$BO$4,MATCH(Q25,$AL$4:$BO$4,1)+1)-Q25)
        *(INDEX($AK$5:$AK$60,MATCH(Q24,$AK$5:$AK$60,1)+1)-Q24)
        +
        INDEX($AL$5:$BO$60,MATCH(Q24,$AK$5:$AK$60,1)+1,MATCH(Q25,$AL$4:$BO$4,1))
        *(INDEX($AL$4:$BO$4,MATCH(Q25,$AL$4:$BO$4,1)+1)-Q25)
        *(Q24-INDEX($AK$5:$AK$60,MATCH(Q24,$AK$5:$AK$60,1)))
        +
        INDEX($AL$5:$BO$60,MATCH(Q24,$AK$5:$AK$60,1),MATCH(Q25,$AL$4:$BO$4,1)+1)
        *(Q25-INDEX($AL$4:$BO$4,MATCH(Q25,$AL$4:$BO$4,1)))
        *(INDEX($AK$5:$AK$60,MATCH(Q24,$AK$5:$AK$60,1)+1)-Q24)
        +
        INDEX($AL$5:$BO$60,MATCH(Q24,$AK$5:$AK$60,1)+1,MATCH(Q25,$AL$4:$BO$4,1)+1)
        *(Q25-INDEX($AL$4:$BO$4,MATCH(Q25,$AL$4:$BO$4,1)))
        *(Q24-INDEX($AK$5:$AK$60,MATCH(Q24,$AK$5:$AK$60,1))))
        /
        ((INDEX($AL$4:$BO$4,MATCH(Q25,$AL$4:$BO$4,1)+1)-INDEX($AL$4:$BO$4,MATCH(Q25,$AL$4:$BO$4,1)))
         *
         (INDEX($AK$5:$AK$60,MATCH(Q24,$AK$5:$AK$60,1)+1)-INDEX($AK$5:$AK$60,MATCH(Q24,$AK$5:$AK$60,1)))),0)),
    ""))</f>
        <v/>
      </c>
      <c r="R27" s="246" t="s">
        <v>126</v>
      </c>
      <c r="S27" s="242" cm="1">
        <f t="array" ref="S27">IFERROR(INDEX(AL5:BO60,MATCH(S24,AK5:AK60,1),MATCH(S25,AL4:BO4,1))+(INDEX(AL5:BO60,MATCH(S24,AK5:AK60,1),MATCH(S25,AL4:BO4,1)+1)-INDEX(AL5:BO60,MATCH(S24,AK5:AK60,1),MATCH(S25,AL4:BO4,1)))*(S25-INDEX(AL4:BO4,MATCH(S25,AL4:BO4,1)))/(INDEX(AL4:BO4,MATCH(S25,AL4:BO4,1)+1)-INDEX(AL4:BO4,MATCH(S25,AL4:BO4,1)))+((INDEX(AL5:BO60,MATCH(S24,AK5:AK60,1)+1,MATCH(S25,AL4:BO4,1))+(INDEX(AL5:BO60,MATCH(S24,AK5:AK60,1)+1,MATCH(S25,AL4:BO4,1)+1)-INDEX(AL5:BO60,MATCH(S24,AK5:AK60,1)+1,MATCH(S25,AL4:BO4,1)))*(S25-INDEX(AL4:BO4,MATCH(S25,AL4:BO4,1)))/(INDEX(AL4:BO4,MATCH(S25,AL4:BO4,1)+1)-INDEX(AL4:BO4,MATCH(S25,AL4:BO4,1))))-(INDEX(AL5:BO60,MATCH(S24,AK5:AK60,1),MATCH(S25,AL4:BO4,1))+(INDEX(AL5:BO60,MATCH(S24,AK5:AK60,1),MATCH(S25,AL4:BO4,1)+1)-INDEX(AL5:BO60,MATCH(S24,AK5:AK60,1),MATCH(S25,AL4:BO4,1)))*(S25-INDEX(AL4:BO4,MATCH(S25,AL4:BO4,1)))/(INDEX(AL4:BO4,MATCH(S25,AL4:BO4,1)+1)-INDEX(AL4:BO4,MATCH(S25,AL4:BO4,1)))))*(S24-INDEX(AK5:AK60,MATCH(S24,AK5:AK60,1)))/(INDEX(AK5:AK60,MATCH(S24,AK5:AK60,1)+1)-INDEX(AK5:AK60,MATCH(S24,AK5:AK60,1))),0)</f>
        <v>0</v>
      </c>
      <c r="T27" s="255"/>
      <c r="U27" s="282">
        <v>15</v>
      </c>
      <c r="V27">
        <v>1.49</v>
      </c>
      <c r="W27">
        <v>1.36</v>
      </c>
      <c r="X27">
        <v>1.24</v>
      </c>
      <c r="Y27">
        <v>1.1499999999999999</v>
      </c>
      <c r="Z27">
        <v>1.07</v>
      </c>
      <c r="AA27">
        <v>1</v>
      </c>
      <c r="AB27">
        <v>0.89</v>
      </c>
      <c r="AC27">
        <v>0.8</v>
      </c>
      <c r="AD27">
        <v>0.73</v>
      </c>
      <c r="AE27">
        <v>0.68</v>
      </c>
      <c r="AF27">
        <v>0.63</v>
      </c>
      <c r="AG27" s="255"/>
      <c r="AH27" s="255"/>
      <c r="AI27" s="255"/>
      <c r="AJ27" s="255"/>
      <c r="AK27" s="282">
        <v>9.6999999999999993</v>
      </c>
      <c r="AL27">
        <v>67156</v>
      </c>
      <c r="AM27">
        <v>66082</v>
      </c>
      <c r="AN27">
        <v>65008</v>
      </c>
      <c r="AO27">
        <v>63934</v>
      </c>
      <c r="AP27">
        <v>62860</v>
      </c>
      <c r="AQ27">
        <v>61787</v>
      </c>
      <c r="AR27">
        <v>60713</v>
      </c>
      <c r="AS27">
        <v>59639</v>
      </c>
      <c r="AT27">
        <v>58565</v>
      </c>
      <c r="AU27">
        <v>57491</v>
      </c>
      <c r="AV27">
        <v>56417</v>
      </c>
      <c r="AW27">
        <v>55343</v>
      </c>
      <c r="AX27">
        <v>54269</v>
      </c>
      <c r="AY27">
        <v>53196</v>
      </c>
      <c r="AZ27">
        <v>52122</v>
      </c>
      <c r="BA27">
        <v>51048</v>
      </c>
      <c r="BB27">
        <v>49975</v>
      </c>
      <c r="BC27">
        <v>48901</v>
      </c>
      <c r="BD27">
        <v>47827</v>
      </c>
      <c r="BE27">
        <v>46753</v>
      </c>
      <c r="BF27">
        <v>45679</v>
      </c>
      <c r="BG27">
        <v>44605</v>
      </c>
      <c r="BH27">
        <v>43532</v>
      </c>
      <c r="BI27">
        <v>42458</v>
      </c>
      <c r="BJ27">
        <v>41384</v>
      </c>
      <c r="BK27">
        <v>40311</v>
      </c>
      <c r="BL27">
        <v>39237</v>
      </c>
      <c r="BM27">
        <v>38163</v>
      </c>
      <c r="BN27">
        <v>37090</v>
      </c>
      <c r="BO27">
        <v>36016</v>
      </c>
      <c r="BP27" s="255"/>
      <c r="BQ27" s="255"/>
      <c r="BR27" s="255"/>
      <c r="BS27" s="255"/>
    </row>
    <row r="28" spans="1:71" x14ac:dyDescent="0.25">
      <c r="A28" s="255"/>
      <c r="B28" s="255"/>
      <c r="C28" s="255"/>
      <c r="D28" s="255"/>
      <c r="E28" s="255"/>
      <c r="F28" s="255"/>
      <c r="G28" s="255"/>
      <c r="H28" s="255"/>
      <c r="I28" s="255"/>
      <c r="J28" s="255"/>
      <c r="K28" s="239" t="s">
        <v>130</v>
      </c>
      <c r="L28" s="247">
        <f>L27-I29</f>
        <v>3.6774113507960124</v>
      </c>
      <c r="M28" s="264" t="s">
        <v>138</v>
      </c>
      <c r="N28" s="255"/>
      <c r="O28" s="255"/>
      <c r="P28" s="258" t="s">
        <v>384</v>
      </c>
      <c r="Q28" s="258"/>
      <c r="R28" s="258"/>
      <c r="S28" s="258"/>
      <c r="T28" s="255"/>
      <c r="U28" s="282">
        <v>18</v>
      </c>
      <c r="V28">
        <v>1.64</v>
      </c>
      <c r="W28">
        <v>1.49</v>
      </c>
      <c r="X28">
        <v>1.37</v>
      </c>
      <c r="Y28">
        <v>1.27</v>
      </c>
      <c r="Z28">
        <v>1.18</v>
      </c>
      <c r="AA28">
        <v>1.1000000000000001</v>
      </c>
      <c r="AB28">
        <v>0.98</v>
      </c>
      <c r="AC28">
        <v>0.89</v>
      </c>
      <c r="AD28">
        <v>0.82</v>
      </c>
      <c r="AE28">
        <v>0.76</v>
      </c>
      <c r="AF28">
        <v>0.71</v>
      </c>
      <c r="AG28" s="255"/>
      <c r="AH28" s="255"/>
      <c r="AI28" s="255"/>
      <c r="AJ28" s="255"/>
      <c r="AK28" s="282">
        <v>9.8000000000000007</v>
      </c>
      <c r="AL28">
        <v>67539</v>
      </c>
      <c r="AM28">
        <v>66453</v>
      </c>
      <c r="AN28">
        <v>65367</v>
      </c>
      <c r="AO28">
        <v>64280</v>
      </c>
      <c r="AP28">
        <v>63194</v>
      </c>
      <c r="AQ28">
        <v>62108</v>
      </c>
      <c r="AR28">
        <v>61022</v>
      </c>
      <c r="AS28">
        <v>59936</v>
      </c>
      <c r="AT28">
        <v>58850</v>
      </c>
      <c r="AU28">
        <v>57764</v>
      </c>
      <c r="AV28">
        <v>56677</v>
      </c>
      <c r="AW28">
        <v>55591</v>
      </c>
      <c r="AX28">
        <v>54505</v>
      </c>
      <c r="AY28">
        <v>53419</v>
      </c>
      <c r="AZ28">
        <v>52333</v>
      </c>
      <c r="BA28">
        <v>51247</v>
      </c>
      <c r="BB28">
        <v>50161</v>
      </c>
      <c r="BC28">
        <v>49075</v>
      </c>
      <c r="BD28">
        <v>47989</v>
      </c>
      <c r="BE28">
        <v>46903</v>
      </c>
      <c r="BF28">
        <v>45816</v>
      </c>
      <c r="BG28">
        <v>44730</v>
      </c>
      <c r="BH28">
        <v>43644</v>
      </c>
      <c r="BI28">
        <v>42558</v>
      </c>
      <c r="BJ28">
        <v>41473</v>
      </c>
      <c r="BK28">
        <v>40387</v>
      </c>
      <c r="BL28">
        <v>39301</v>
      </c>
      <c r="BM28">
        <v>38215</v>
      </c>
      <c r="BN28">
        <v>37129</v>
      </c>
      <c r="BO28">
        <v>36043</v>
      </c>
      <c r="BP28" s="255"/>
      <c r="BQ28" s="255"/>
      <c r="BR28" s="255"/>
      <c r="BS28" s="255"/>
    </row>
    <row r="29" spans="1:71" x14ac:dyDescent="0.25">
      <c r="A29" s="255"/>
      <c r="B29" s="237" t="s">
        <v>127</v>
      </c>
      <c r="C29" s="352">
        <f>S38</f>
        <v>13.6873</v>
      </c>
      <c r="D29" s="255"/>
      <c r="E29" s="237" t="s">
        <v>128</v>
      </c>
      <c r="F29" s="352">
        <f>S35</f>
        <v>8.6740899999999996</v>
      </c>
      <c r="G29" s="265"/>
      <c r="H29" s="239" t="s">
        <v>383</v>
      </c>
      <c r="I29" s="241">
        <f>IFERROR(I27/B27,0)</f>
        <v>2.8424408488674568E-2</v>
      </c>
      <c r="J29" s="255"/>
      <c r="K29" s="255"/>
      <c r="L29" s="255"/>
      <c r="M29" s="255"/>
      <c r="N29" s="255"/>
      <c r="O29" s="255"/>
      <c r="P29" s="239" t="s">
        <v>390</v>
      </c>
      <c r="Q29" s="315"/>
      <c r="R29" s="239" t="s">
        <v>453</v>
      </c>
      <c r="S29" s="347">
        <f>S24</f>
        <v>12.327</v>
      </c>
      <c r="T29" s="255"/>
      <c r="U29" s="282">
        <v>21</v>
      </c>
      <c r="V29">
        <v>1.78</v>
      </c>
      <c r="W29">
        <v>1.62</v>
      </c>
      <c r="X29">
        <v>1.49</v>
      </c>
      <c r="Y29">
        <v>1.38</v>
      </c>
      <c r="Z29">
        <v>1.28</v>
      </c>
      <c r="AA29">
        <v>1.21</v>
      </c>
      <c r="AB29">
        <v>1.08</v>
      </c>
      <c r="AC29">
        <v>0.98</v>
      </c>
      <c r="AD29">
        <v>0.9</v>
      </c>
      <c r="AE29">
        <v>0.83</v>
      </c>
      <c r="AF29">
        <v>0.78</v>
      </c>
      <c r="AG29" s="255"/>
      <c r="AH29" s="255"/>
      <c r="AI29" s="255"/>
      <c r="AJ29" s="255"/>
      <c r="AK29" s="282">
        <v>9.9</v>
      </c>
      <c r="AL29">
        <v>67933</v>
      </c>
      <c r="AM29">
        <v>66834</v>
      </c>
      <c r="AN29">
        <v>65736</v>
      </c>
      <c r="AO29">
        <v>64637</v>
      </c>
      <c r="AP29">
        <v>63539</v>
      </c>
      <c r="AQ29">
        <v>62440</v>
      </c>
      <c r="AR29">
        <v>61342</v>
      </c>
      <c r="AS29">
        <v>60244</v>
      </c>
      <c r="AT29">
        <v>59145</v>
      </c>
      <c r="AU29">
        <v>58047</v>
      </c>
      <c r="AV29">
        <v>56948</v>
      </c>
      <c r="AW29">
        <v>55849</v>
      </c>
      <c r="AX29">
        <v>54751</v>
      </c>
      <c r="AY29">
        <v>53653</v>
      </c>
      <c r="AZ29">
        <v>52554</v>
      </c>
      <c r="BA29">
        <v>51456</v>
      </c>
      <c r="BB29">
        <v>50358</v>
      </c>
      <c r="BC29">
        <v>49260</v>
      </c>
      <c r="BD29">
        <v>48161</v>
      </c>
      <c r="BE29">
        <v>47063</v>
      </c>
      <c r="BF29">
        <v>45964</v>
      </c>
      <c r="BG29">
        <v>44866</v>
      </c>
      <c r="BH29">
        <v>43767</v>
      </c>
      <c r="BI29">
        <v>42669</v>
      </c>
      <c r="BJ29">
        <v>41571</v>
      </c>
      <c r="BK29">
        <v>40473</v>
      </c>
      <c r="BL29">
        <v>39375</v>
      </c>
      <c r="BM29">
        <v>38276</v>
      </c>
      <c r="BN29">
        <v>37178</v>
      </c>
      <c r="BO29">
        <v>36080</v>
      </c>
      <c r="BP29" s="255"/>
      <c r="BQ29" s="255"/>
      <c r="BR29" s="255"/>
      <c r="BS29" s="255"/>
    </row>
    <row r="30" spans="1:71" x14ac:dyDescent="0.25">
      <c r="A30" s="255"/>
      <c r="B30" s="255"/>
      <c r="C30" s="255"/>
      <c r="D30" s="255"/>
      <c r="E30" s="255"/>
      <c r="F30" s="255"/>
      <c r="G30" s="255"/>
      <c r="H30" s="255"/>
      <c r="I30" s="255"/>
      <c r="J30" s="255"/>
      <c r="K30" s="239" t="s">
        <v>131</v>
      </c>
      <c r="L30" s="247">
        <f>C27+I29</f>
        <v>10.009888649203988</v>
      </c>
      <c r="M30" s="255"/>
      <c r="N30" s="255"/>
      <c r="O30" s="255"/>
      <c r="P30" s="239" t="s">
        <v>368</v>
      </c>
      <c r="Q30" s="315"/>
      <c r="R30" s="239" t="s">
        <v>368</v>
      </c>
      <c r="S30" s="362">
        <f>L30</f>
        <v>10.009888649203988</v>
      </c>
      <c r="T30" s="255"/>
      <c r="U30" s="282">
        <v>24</v>
      </c>
      <c r="V30">
        <v>1.93</v>
      </c>
      <c r="W30">
        <v>1.76</v>
      </c>
      <c r="X30">
        <v>1.62</v>
      </c>
      <c r="Y30">
        <v>1.5</v>
      </c>
      <c r="Z30">
        <v>1.4</v>
      </c>
      <c r="AA30">
        <v>1.31</v>
      </c>
      <c r="AB30">
        <v>1.17</v>
      </c>
      <c r="AC30">
        <v>1.07</v>
      </c>
      <c r="AD30">
        <v>0.98</v>
      </c>
      <c r="AE30">
        <v>0.91</v>
      </c>
      <c r="AF30">
        <v>0.85</v>
      </c>
      <c r="AG30" s="255"/>
      <c r="AH30" s="255"/>
      <c r="AI30" s="255"/>
      <c r="AJ30" s="255"/>
      <c r="AK30" s="282">
        <v>10</v>
      </c>
      <c r="AL30">
        <v>68332</v>
      </c>
      <c r="AM30">
        <v>67221</v>
      </c>
      <c r="AN30">
        <v>66111</v>
      </c>
      <c r="AO30">
        <v>65000</v>
      </c>
      <c r="AP30">
        <v>63889</v>
      </c>
      <c r="AQ30">
        <v>62778</v>
      </c>
      <c r="AR30">
        <v>61668</v>
      </c>
      <c r="AS30">
        <v>60557</v>
      </c>
      <c r="AT30">
        <v>59446</v>
      </c>
      <c r="AU30">
        <v>58335</v>
      </c>
      <c r="AV30">
        <v>57224</v>
      </c>
      <c r="AW30">
        <v>56113</v>
      </c>
      <c r="AX30">
        <v>55003</v>
      </c>
      <c r="AY30">
        <v>53892</v>
      </c>
      <c r="AZ30">
        <v>52781</v>
      </c>
      <c r="BA30">
        <v>51671</v>
      </c>
      <c r="BB30">
        <v>50560</v>
      </c>
      <c r="BC30">
        <v>49450</v>
      </c>
      <c r="BD30">
        <v>48339</v>
      </c>
      <c r="BE30">
        <v>47229</v>
      </c>
      <c r="BF30">
        <v>46117</v>
      </c>
      <c r="BG30">
        <v>45007</v>
      </c>
      <c r="BH30">
        <v>43896</v>
      </c>
      <c r="BI30">
        <v>42786</v>
      </c>
      <c r="BJ30">
        <v>41675</v>
      </c>
      <c r="BK30">
        <v>40565</v>
      </c>
      <c r="BL30">
        <v>39454</v>
      </c>
      <c r="BM30">
        <v>38344</v>
      </c>
      <c r="BN30">
        <v>37233</v>
      </c>
      <c r="BO30">
        <v>36123</v>
      </c>
      <c r="BP30" s="255"/>
      <c r="BQ30" s="255"/>
      <c r="BR30" s="255"/>
      <c r="BS30" s="255"/>
    </row>
    <row r="31" spans="1:71" x14ac:dyDescent="0.25">
      <c r="A31" s="255"/>
      <c r="B31" s="255"/>
      <c r="C31" s="255"/>
      <c r="D31" s="255"/>
      <c r="E31" s="255"/>
      <c r="F31" s="255"/>
      <c r="G31" s="255"/>
      <c r="H31" s="255"/>
      <c r="I31" s="255"/>
      <c r="J31" s="255"/>
      <c r="K31" s="255"/>
      <c r="L31" s="255"/>
      <c r="M31" s="255"/>
      <c r="N31" s="255"/>
      <c r="O31" s="255"/>
      <c r="P31" s="255"/>
      <c r="Q31" s="255"/>
      <c r="R31" s="255"/>
      <c r="S31" s="255"/>
      <c r="T31" s="255"/>
      <c r="U31" s="255"/>
      <c r="V31" s="255"/>
      <c r="W31" s="255"/>
      <c r="X31" s="255"/>
      <c r="Y31" s="255"/>
      <c r="Z31" s="255"/>
      <c r="AA31" s="255"/>
      <c r="AB31" s="255"/>
      <c r="AC31" s="255"/>
      <c r="AD31" s="255"/>
      <c r="AE31" s="255"/>
      <c r="AF31" s="255"/>
      <c r="AG31" s="255"/>
      <c r="AH31" s="255"/>
      <c r="AI31" s="255"/>
      <c r="AJ31" s="255"/>
      <c r="AK31" s="282">
        <v>10.1</v>
      </c>
      <c r="AL31">
        <v>68744</v>
      </c>
      <c r="AM31">
        <v>67621</v>
      </c>
      <c r="AN31">
        <v>66498</v>
      </c>
      <c r="AO31">
        <v>65375</v>
      </c>
      <c r="AP31">
        <v>64252</v>
      </c>
      <c r="AQ31">
        <v>63129</v>
      </c>
      <c r="AR31">
        <v>62005</v>
      </c>
      <c r="AS31">
        <v>60882</v>
      </c>
      <c r="AT31">
        <v>59759</v>
      </c>
      <c r="AU31">
        <v>58636</v>
      </c>
      <c r="AV31">
        <v>57512</v>
      </c>
      <c r="AW31">
        <v>56389</v>
      </c>
      <c r="AX31">
        <v>55266</v>
      </c>
      <c r="AY31">
        <v>54143</v>
      </c>
      <c r="AZ31">
        <v>53020</v>
      </c>
      <c r="BA31">
        <v>51897</v>
      </c>
      <c r="BB31">
        <v>50774</v>
      </c>
      <c r="BC31">
        <v>49652</v>
      </c>
      <c r="BD31">
        <v>48529</v>
      </c>
      <c r="BE31">
        <v>47406</v>
      </c>
      <c r="BF31">
        <v>46282</v>
      </c>
      <c r="BG31">
        <v>45159</v>
      </c>
      <c r="BH31">
        <v>44037</v>
      </c>
      <c r="BI31">
        <v>42914</v>
      </c>
      <c r="BJ31">
        <v>41791</v>
      </c>
      <c r="BK31">
        <v>40668</v>
      </c>
      <c r="BL31">
        <v>39545</v>
      </c>
      <c r="BM31">
        <v>38422</v>
      </c>
      <c r="BN31">
        <v>37300</v>
      </c>
      <c r="BO31">
        <v>36177</v>
      </c>
      <c r="BP31" s="255"/>
      <c r="BQ31" s="255"/>
      <c r="BR31" s="255"/>
      <c r="BS31" s="255"/>
    </row>
    <row r="32" spans="1:71" x14ac:dyDescent="0.25">
      <c r="A32" s="255"/>
      <c r="B32" s="255"/>
      <c r="C32" s="266" t="s">
        <v>141</v>
      </c>
      <c r="D32" s="252" t="str">
        <f>C32</f>
        <v>ft3</v>
      </c>
      <c r="E32" s="252" t="str">
        <f>IF(C32="ft3","m3","ft3")</f>
        <v>m3</v>
      </c>
      <c r="F32" s="252" t="str">
        <f>IF(C32="ft3","m3","ft3")</f>
        <v>m3</v>
      </c>
      <c r="G32" s="255"/>
      <c r="H32" s="255"/>
      <c r="I32" s="255"/>
      <c r="J32" s="255"/>
      <c r="K32" s="255"/>
      <c r="L32" s="255"/>
      <c r="M32" s="255"/>
      <c r="N32" s="255"/>
      <c r="O32" s="255"/>
      <c r="P32" s="246" t="s">
        <v>126</v>
      </c>
      <c r="Q32" s="242" cm="1">
        <f t="array" ref="Q32" xml:space="preserve">
IFERROR(
(INDEX($V$6:$AD$19,MATCH(Q29,$U$6:$U$19,1),MATCH(Q30,$V$5:$AD$5,1))
*(INDEX($V$5:$AD$5,MATCH(Q30,$V$5:$AD$5,1)+1)-Q30)
*(INDEX($U$6:$U$19,MATCH(Q29,$U$6:$U$19,1)+1)-Q29)
+
INDEX($V$6:$AD$19,MATCH(Q29,$U$6:$U$19,1)+1,MATCH(Q30,$V$5:$AD$5,1))
*(INDEX($V$5:$AD$5,MATCH(Q30,$V$5:$AD$5,1)+1)-Q30)
*(Q29-INDEX($U$6:$U$19,MATCH(Q29,$U$6:$U$19,1)))
+
INDEX($V$6:$AD$19,MATCH(Q29,$U$6:$U$19,1),MATCH(Q30,$V$5:$AD$5,1)+1)
*(Q30-INDEX($V$5:$AD$5,MATCH(Q30,$V$5:$AD$5,1)))
*(INDEX($U$6:$U$19,MATCH(Q29,$U$6:$U$19,1)+1)-Q29)
+
INDEX($V$6:$AD$19,MATCH(Q29,$U$6:$U$19,1)+1,MATCH(Q30,$V$5:$AD$5,1)+1)
*(Q30-INDEX($V$5:$AD$5,MATCH(Q30,$V$5:$AD$5,1)))
*(Q29-INDEX($U$6:$U$19,MATCH(Q29,$U$6:$U$19,1))))
/
((INDEX($V$5:$AD$5,MATCH(Q30,$V$5:$AD$5,1)+1)-INDEX($V$5:$AD$5,MATCH(Q30,$V$5:$AD$5,1)))
*
(INDEX($U$6:$U$19,MATCH(Q29,$U$6:$U$19,1)+1)-INDEX($U$6:$U$19,MATCH(Q29,$U$6:$U$19,1)))),0)</f>
        <v>0</v>
      </c>
      <c r="R32" s="246" t="s">
        <v>126</v>
      </c>
      <c r="S32" s="242" cm="1">
        <f t="array" ref="S32">IFERROR(INDEX(AL5:BO60,MATCH(S29,AK5:AK60,1),MATCH(S30,AL4:BO4,1))+(INDEX(AL5:BO60,MATCH(S29,AK5:AK60,1),MATCH(S30,AL4:BO4,1)+1)-INDEX(AL5:BO60,MATCH(S29,AK5:AK60,1),MATCH(S30,AL4:BO4,1)))*(S30-INDEX(AL4:BO4,MATCH(S30,AL4:BO4,1)))/(INDEX(AL4:BO4,MATCH(S30,AL4:BO4,1)+1)-INDEX(AL4:BO4,MATCH(S30,AL4:BO4,1)))+((INDEX(AL5:BO60,MATCH(S29,AK5:AK60,1)+1,MATCH(S30,AL4:BO4,1))+(INDEX(AL5:BO60,MATCH(S29,AK5:AK60,1)+1,MATCH(S30,AL4:BO4,1)+1)-INDEX(AL5:BO60,MATCH(S29,AK5:AK60,1)+1,MATCH(S30,AL4:BO4,1)))*(S30-INDEX(AL4:BO4,MATCH(S30,AL4:BO4,1)))/(INDEX(AL4:BO4,MATCH(S30,AL4:BO4,1)+1)-INDEX(AL4:BO4,MATCH(S30,AL4:BO4,1))))-(INDEX(AL5:BO60,MATCH(S29,AK5:AK60,1),MATCH(S30,AL4:BO4,1))+(INDEX(AL5:BO60,MATCH(S29,AK5:AK60,1),MATCH(S30,AL4:BO4,1)+1)-INDEX(AL5:BO60,MATCH(S29,AK5:AK60,1),MATCH(S30,AL4:BO4,1)))*(S30-INDEX(AL4:BO4,MATCH(S30,AL4:BO4,1)))/(INDEX(AL4:BO4,MATCH(S30,AL4:BO4,1)+1)-INDEX(AL4:BO4,MATCH(S30,AL4:BO4,1)))))*(S29-INDEX(AK5:AK60,MATCH(S29,AK5:AK60,1)))/(INDEX(AK5:AK60,MATCH(S29,AK5:AK60,1)+1)-INDEX(AK5:AK60,MATCH(S29,AK5:AK60,1))),0)</f>
        <v>53711.765218262793</v>
      </c>
      <c r="T32" s="255"/>
      <c r="U32" s="255"/>
      <c r="V32" s="255"/>
      <c r="W32" s="255"/>
      <c r="X32" s="255"/>
      <c r="Y32" s="255"/>
      <c r="Z32" s="239" t="s">
        <v>404</v>
      </c>
      <c r="AA32" s="255"/>
      <c r="AB32" s="255"/>
      <c r="AC32" s="255"/>
      <c r="AD32" s="255"/>
      <c r="AE32" s="255"/>
      <c r="AF32" s="255"/>
      <c r="AG32" s="255"/>
      <c r="AH32" s="255"/>
      <c r="AI32" s="255"/>
      <c r="AJ32" s="255"/>
      <c r="AK32" s="282">
        <v>10.199999999999999</v>
      </c>
      <c r="AL32">
        <v>69168</v>
      </c>
      <c r="AM32">
        <v>68033</v>
      </c>
      <c r="AN32">
        <v>66898</v>
      </c>
      <c r="AO32">
        <v>65762</v>
      </c>
      <c r="AP32">
        <v>64627</v>
      </c>
      <c r="AQ32">
        <v>63491</v>
      </c>
      <c r="AR32">
        <v>62356</v>
      </c>
      <c r="AS32">
        <v>61220</v>
      </c>
      <c r="AT32">
        <v>60085</v>
      </c>
      <c r="AU32">
        <v>58949</v>
      </c>
      <c r="AV32">
        <v>57813</v>
      </c>
      <c r="AW32">
        <v>56678</v>
      </c>
      <c r="AX32">
        <v>55542</v>
      </c>
      <c r="AY32">
        <v>54407</v>
      </c>
      <c r="AZ32">
        <v>53272</v>
      </c>
      <c r="BA32">
        <v>52136</v>
      </c>
      <c r="BB32">
        <v>51001</v>
      </c>
      <c r="BC32">
        <v>49866</v>
      </c>
      <c r="BD32">
        <v>48731</v>
      </c>
      <c r="BE32">
        <v>47595</v>
      </c>
      <c r="BF32">
        <v>46459</v>
      </c>
      <c r="BG32">
        <v>45324</v>
      </c>
      <c r="BH32">
        <v>44189</v>
      </c>
      <c r="BI32">
        <v>43054</v>
      </c>
      <c r="BJ32">
        <v>41919</v>
      </c>
      <c r="BK32">
        <v>40783</v>
      </c>
      <c r="BL32">
        <v>39648</v>
      </c>
      <c r="BM32">
        <v>38513</v>
      </c>
      <c r="BN32">
        <v>37378</v>
      </c>
      <c r="BO32">
        <v>36243</v>
      </c>
      <c r="BP32" s="255"/>
      <c r="BQ32" s="255"/>
      <c r="BR32" s="255"/>
      <c r="BS32" s="255"/>
    </row>
    <row r="33" spans="1:288" x14ac:dyDescent="0.25">
      <c r="A33" s="255"/>
      <c r="B33" s="267" t="s">
        <v>144</v>
      </c>
      <c r="C33" s="324">
        <v>42</v>
      </c>
      <c r="D33" s="301">
        <f>C33
* IF(AND(C32="ft3",D32="m3"),0.028316,
    IF(AND(C32="m3",D32="ft3"),1/0.028316,
    1))
* IF(AND(C34="Tm",D34="LT"),1.01605,
    IF(AND(C34="LT",D34="Tm"),1/1.01605,
    1))</f>
        <v>41.336548398208755</v>
      </c>
      <c r="E33" s="301">
        <f>C33
* IF(AND(C32="ft3",E32="m3"),0.028316,
    IF(AND(C32="m3",E32="ft3"),1/0.028316,
    1))
* IF(AND(C34="Tm",E34="LT"),1.01605,
    IF(AND(C34="LT",E34="Tm"),1/1.01605,
    1))</f>
        <v>1.1892720000000001</v>
      </c>
      <c r="F33" s="301">
        <f>C33
* IF(AND(C32="ft3",F32="m3"),0.028316,
    IF(AND(C32="m3",F32="ft3"),1/0.028316,
    1))
* IF(AND(C34="Tm",F34="LT"),1.01605,
    IF(AND(C34="LT",F34="Tm"),1/1.01605,
    1))</f>
        <v>1.1704857044436792</v>
      </c>
      <c r="G33" s="254" cm="1">
        <f t="array" ref="G33">INDEX(C33:F33,MATCH(1,(C32:F32="m3")*(C34:F34="Tm"),0))</f>
        <v>1.1704857044436792</v>
      </c>
      <c r="H33" s="266" t="s">
        <v>141</v>
      </c>
      <c r="I33" s="255"/>
      <c r="J33" s="263" t="s">
        <v>491</v>
      </c>
      <c r="K33" s="239" t="s">
        <v>125</v>
      </c>
      <c r="L33" s="239" t="s">
        <v>382</v>
      </c>
      <c r="M33" s="239" t="s">
        <v>373</v>
      </c>
      <c r="N33" s="255"/>
      <c r="O33" s="255"/>
      <c r="P33" s="255"/>
      <c r="Q33" s="255"/>
      <c r="R33" s="255"/>
      <c r="S33" s="255"/>
      <c r="T33" s="255"/>
      <c r="U33" s="255"/>
      <c r="V33" s="255"/>
      <c r="W33" s="255"/>
      <c r="X33" s="255"/>
      <c r="Y33" s="255"/>
      <c r="Z33" s="255"/>
      <c r="AA33" s="255"/>
      <c r="AB33" s="255"/>
      <c r="AC33" s="255"/>
      <c r="AD33" s="255"/>
      <c r="AE33" s="255"/>
      <c r="AF33" s="255"/>
      <c r="AG33" s="255"/>
      <c r="AH33" s="255"/>
      <c r="AI33" s="255"/>
      <c r="AJ33" s="255"/>
      <c r="AK33" s="282">
        <v>10.3</v>
      </c>
      <c r="AL33">
        <v>69607</v>
      </c>
      <c r="AM33">
        <v>68459</v>
      </c>
      <c r="AN33">
        <v>67311</v>
      </c>
      <c r="AO33">
        <v>66163</v>
      </c>
      <c r="AP33">
        <v>65015</v>
      </c>
      <c r="AQ33">
        <v>63868</v>
      </c>
      <c r="AR33">
        <v>62720</v>
      </c>
      <c r="AS33">
        <v>61572</v>
      </c>
      <c r="AT33">
        <v>60424</v>
      </c>
      <c r="AU33">
        <v>59276</v>
      </c>
      <c r="AV33">
        <v>58128</v>
      </c>
      <c r="AW33">
        <v>56980</v>
      </c>
      <c r="AX33">
        <v>55832</v>
      </c>
      <c r="AY33">
        <v>54685</v>
      </c>
      <c r="AZ33">
        <v>53537</v>
      </c>
      <c r="BA33">
        <v>52389</v>
      </c>
      <c r="BB33">
        <v>51241</v>
      </c>
      <c r="BC33">
        <v>50094</v>
      </c>
      <c r="BD33">
        <v>48946</v>
      </c>
      <c r="BE33">
        <v>47799</v>
      </c>
      <c r="BF33">
        <v>46650</v>
      </c>
      <c r="BG33">
        <v>45503</v>
      </c>
      <c r="BH33">
        <v>44355</v>
      </c>
      <c r="BI33">
        <v>43208</v>
      </c>
      <c r="BJ33">
        <v>42060</v>
      </c>
      <c r="BK33">
        <v>40912</v>
      </c>
      <c r="BL33">
        <v>39765</v>
      </c>
      <c r="BM33">
        <v>38617</v>
      </c>
      <c r="BN33">
        <v>37470</v>
      </c>
      <c r="BO33">
        <v>36323</v>
      </c>
      <c r="BP33" s="255"/>
      <c r="BQ33" s="255"/>
      <c r="BR33" s="255"/>
      <c r="BS33" s="255"/>
    </row>
    <row r="34" spans="1:288" x14ac:dyDescent="0.25">
      <c r="A34" s="255"/>
      <c r="B34" s="255"/>
      <c r="C34" s="266" t="s">
        <v>393</v>
      </c>
      <c r="D34" s="252" t="str">
        <f>IF(C34="Tm","LT","Tm")</f>
        <v>Tm</v>
      </c>
      <c r="E34" s="252" t="str">
        <f>C34</f>
        <v>LT</v>
      </c>
      <c r="F34" s="252" t="str">
        <f>IF(C34="Tm","LT","Tm")</f>
        <v>Tm</v>
      </c>
      <c r="G34" s="255" t="s">
        <v>384</v>
      </c>
      <c r="H34" s="266" t="s">
        <v>393</v>
      </c>
      <c r="I34" s="255"/>
      <c r="J34" s="314" t="s">
        <v>381</v>
      </c>
      <c r="K34" s="321">
        <v>45429.8</v>
      </c>
      <c r="L34" s="322">
        <v>94.028999999999996</v>
      </c>
      <c r="M34" s="294">
        <f>K34*L34</f>
        <v>4271718.6642000005</v>
      </c>
      <c r="N34" s="255">
        <v>158.6</v>
      </c>
      <c r="O34" s="255"/>
      <c r="P34" s="316"/>
      <c r="Q34" s="255"/>
      <c r="R34" s="237" t="str">
        <f>IF(S27="Pt. Da Buitra","D =","C =")</f>
        <v>C =</v>
      </c>
      <c r="S34" s="347">
        <f>S24</f>
        <v>12.327</v>
      </c>
      <c r="T34" s="255"/>
      <c r="U34" s="239" t="s">
        <v>397</v>
      </c>
      <c r="V34" s="310" t="s">
        <v>142</v>
      </c>
      <c r="W34" s="310" t="s">
        <v>141</v>
      </c>
      <c r="X34" s="310" t="s">
        <v>95</v>
      </c>
      <c r="Y34" s="310" t="s">
        <v>393</v>
      </c>
      <c r="Z34" s="255"/>
      <c r="AA34" s="239" t="s">
        <v>401</v>
      </c>
      <c r="AB34" s="310" t="s">
        <v>142</v>
      </c>
      <c r="AC34" s="310" t="s">
        <v>141</v>
      </c>
      <c r="AD34" s="310" t="s">
        <v>95</v>
      </c>
      <c r="AE34" s="310" t="s">
        <v>393</v>
      </c>
      <c r="AF34" s="255"/>
      <c r="AG34" s="255"/>
      <c r="AH34" s="255"/>
      <c r="AI34" s="255"/>
      <c r="AJ34" s="255"/>
      <c r="AK34" s="282">
        <v>10.4</v>
      </c>
      <c r="AL34">
        <v>70061</v>
      </c>
      <c r="AM34">
        <v>68900</v>
      </c>
      <c r="AN34">
        <v>67740</v>
      </c>
      <c r="AO34">
        <v>66580</v>
      </c>
      <c r="AP34">
        <v>65419</v>
      </c>
      <c r="AQ34">
        <v>64259</v>
      </c>
      <c r="AR34">
        <v>63099</v>
      </c>
      <c r="AS34">
        <v>61938</v>
      </c>
      <c r="AT34">
        <v>60778</v>
      </c>
      <c r="AU34">
        <v>59618</v>
      </c>
      <c r="AV34">
        <v>58457</v>
      </c>
      <c r="AW34">
        <v>57297</v>
      </c>
      <c r="AX34">
        <v>56137</v>
      </c>
      <c r="AY34">
        <v>54977</v>
      </c>
      <c r="AZ34">
        <v>53817</v>
      </c>
      <c r="BA34">
        <v>52656</v>
      </c>
      <c r="BB34">
        <v>51496</v>
      </c>
      <c r="BC34">
        <v>50336</v>
      </c>
      <c r="BD34">
        <v>49176</v>
      </c>
      <c r="BE34">
        <v>48016</v>
      </c>
      <c r="BF34">
        <v>46856</v>
      </c>
      <c r="BG34">
        <v>45696</v>
      </c>
      <c r="BH34">
        <v>44536</v>
      </c>
      <c r="BI34">
        <v>43376</v>
      </c>
      <c r="BJ34">
        <v>42216</v>
      </c>
      <c r="BK34">
        <v>41056</v>
      </c>
      <c r="BL34">
        <v>39896</v>
      </c>
      <c r="BM34">
        <v>38736</v>
      </c>
      <c r="BN34">
        <v>37576</v>
      </c>
      <c r="BO34">
        <v>36416</v>
      </c>
      <c r="BP34" s="255"/>
      <c r="BQ34" s="255"/>
      <c r="BR34" s="255"/>
      <c r="BS34" s="255"/>
    </row>
    <row r="35" spans="1:288" s="255" customFormat="1" x14ac:dyDescent="0.25">
      <c r="C35" s="253"/>
      <c r="D35" s="253"/>
      <c r="E35" s="253"/>
      <c r="F35" s="253"/>
      <c r="G35" s="255">
        <v>1</v>
      </c>
      <c r="H35" s="312">
        <f>1
* IF(AND(H33="ft3",H36="m3"),0.028316,
    IF(AND(H33="m3",H36="ft3"),1/0.028316,
    1))
* IF(AND(H34="Tm",H37="LT"),1.01605,
    IF(AND(H34="LT",H37="Tm"),1/1.01605,
    1))</f>
        <v>2.7868707248659027E-2</v>
      </c>
      <c r="J35" s="345" t="s">
        <v>376</v>
      </c>
      <c r="K35" s="295">
        <f>M41</f>
        <v>8914.3266631944334</v>
      </c>
      <c r="L35" s="322">
        <v>130.02000000000001</v>
      </c>
      <c r="M35" s="294">
        <f>K35*L35</f>
        <v>1159040.7527485404</v>
      </c>
      <c r="N35" s="255">
        <v>130.02000000000001</v>
      </c>
      <c r="P35" s="316"/>
      <c r="R35" s="237" t="s">
        <v>128</v>
      </c>
      <c r="S35" s="247" cm="1">
        <f t="array" ref="S35">IFERROR(INDEX(AL64:AL121,MATCH(S34,AK64:AK121,1)) +
((S34-INDEX(AK64:AK121,MATCH(S34,AK64:AK121,1))) /
(INDEX(AK64:AK121,MATCH(S34,AK64:AK121,1)+1)-INDEX(AK64:AK121,MATCH(S34,AK64:AK121,1)))) *
(INDEX(AL64:AL121,MATCH(S34,AK64:AK121,1)+1)-INDEX(AL64:AL121,MATCH(S34,AK64:AK121,1))),0)</f>
        <v>8.6740899999999996</v>
      </c>
      <c r="U35" s="309" t="s">
        <v>142</v>
      </c>
      <c r="V35">
        <v>1</v>
      </c>
      <c r="W35">
        <v>35.315722559999998</v>
      </c>
      <c r="X35">
        <f>IFERROR(1/IF(AND(C32="m3",C34="Tm"),C33,IF(AND(D32="m3",D34="Tm"),D33,IF(AND(E32="m3",E34="Tm"),E33,IF(AND(F32="m3",F34="Tm"),F33,0)))),0)</f>
        <v>0.8543461882563449</v>
      </c>
      <c r="Y35">
        <f>IFERROR(1/IF(AND(C32="m3",C34="LT"),C33,IF(AND(D32="m3",D34="LT"),D33,IF(AND(E32="m3",E34="LT"),E33,IF(AND(F32="m3",F34="LT"),F33,0)))),0)</f>
        <v>0.8408505371353231</v>
      </c>
      <c r="AA35" s="309" t="s">
        <v>142</v>
      </c>
      <c r="AB35">
        <v>1</v>
      </c>
      <c r="AC35">
        <v>35.315722559999998</v>
      </c>
      <c r="AD35">
        <f>IFERROR(1/IF(AND(C36="m3",C38="Tm"),C37,IF(AND(D36="m3",D38="Tm"),D37,IF(AND(E36="m3",E38="Tm"),E37,IF(AND(F36="m3",F38="Tm"),F37,0)))),0)</f>
        <v>0.89706349766916205</v>
      </c>
      <c r="AE35">
        <f>IFERROR(1/IF(AND(C36="m3",C38="LT"),C37,IF(AND(D36="m3",D38="LT"),D37,IF(AND(E36="m3",E38="LT"),E37,IF(AND(F36="m3",F38="LT"),F37,0)))),0)</f>
        <v>0.88289306399208922</v>
      </c>
      <c r="AH35" s="255" t="s">
        <v>398</v>
      </c>
      <c r="AI35" s="255" t="s">
        <v>399</v>
      </c>
      <c r="AJ35" s="255" t="s">
        <v>400</v>
      </c>
      <c r="AK35" s="282">
        <v>10.5</v>
      </c>
      <c r="AL35" s="276">
        <v>70530</v>
      </c>
      <c r="AM35" s="276">
        <v>69357</v>
      </c>
      <c r="AN35" s="276">
        <v>68184</v>
      </c>
      <c r="AO35" s="276">
        <v>67012</v>
      </c>
      <c r="AP35" s="276">
        <v>65839</v>
      </c>
      <c r="AQ35" s="276">
        <v>64666</v>
      </c>
      <c r="AR35" s="276">
        <v>63494</v>
      </c>
      <c r="AS35" s="276">
        <v>62321</v>
      </c>
      <c r="AT35" s="276">
        <v>61148</v>
      </c>
      <c r="AU35" s="276">
        <v>59976</v>
      </c>
      <c r="AV35" s="276">
        <v>58802</v>
      </c>
      <c r="AW35" s="276">
        <v>57630</v>
      </c>
      <c r="AX35" s="276">
        <v>56457</v>
      </c>
      <c r="AY35" s="276">
        <v>55284</v>
      </c>
      <c r="AZ35" s="276">
        <v>54112</v>
      </c>
      <c r="BA35" s="276">
        <v>52939</v>
      </c>
      <c r="BB35" s="276">
        <v>51767</v>
      </c>
      <c r="BC35" s="276">
        <v>50594</v>
      </c>
      <c r="BD35" s="276">
        <v>49422</v>
      </c>
      <c r="BE35" s="276">
        <v>48249</v>
      </c>
      <c r="BF35" s="276">
        <v>47076</v>
      </c>
      <c r="BG35" s="276">
        <v>45904</v>
      </c>
      <c r="BH35" s="276">
        <v>44731</v>
      </c>
      <c r="BI35" s="276">
        <v>43559</v>
      </c>
      <c r="BJ35" s="276">
        <v>42386</v>
      </c>
      <c r="BK35" s="276">
        <v>41214</v>
      </c>
      <c r="BL35" s="276">
        <v>40042</v>
      </c>
      <c r="BM35" s="276">
        <v>38969</v>
      </c>
      <c r="BN35" s="276">
        <v>37697</v>
      </c>
      <c r="BO35" s="276">
        <v>36525</v>
      </c>
      <c r="BT35"/>
      <c r="BU35"/>
      <c r="BV35"/>
      <c r="BW35"/>
      <c r="BX35"/>
      <c r="BY35"/>
      <c r="BZ35"/>
      <c r="CA35"/>
      <c r="CB35"/>
      <c r="CC35"/>
      <c r="CD35"/>
      <c r="CE35"/>
      <c r="CF35"/>
      <c r="CG35"/>
      <c r="CH35"/>
      <c r="CI35"/>
      <c r="CJ35"/>
      <c r="CK35"/>
      <c r="CL35"/>
      <c r="CM35"/>
      <c r="CN35"/>
      <c r="CO35"/>
      <c r="CP35"/>
      <c r="CQ35"/>
      <c r="CR35"/>
      <c r="CS35"/>
      <c r="CT35"/>
      <c r="CU35"/>
      <c r="CV35"/>
      <c r="CW35"/>
      <c r="CX35"/>
      <c r="CY35"/>
      <c r="CZ35"/>
      <c r="DA35"/>
      <c r="DB35"/>
      <c r="DC35"/>
      <c r="DD35"/>
      <c r="DE35"/>
      <c r="DF35"/>
      <c r="DG35"/>
      <c r="DH35"/>
      <c r="DI35"/>
      <c r="DJ35"/>
      <c r="DK35"/>
      <c r="DL35"/>
      <c r="DM35"/>
      <c r="DN35"/>
      <c r="DO35"/>
      <c r="DP35"/>
      <c r="DQ35"/>
      <c r="DR35"/>
      <c r="DS35"/>
      <c r="DT35"/>
      <c r="DU35"/>
      <c r="DV35"/>
      <c r="DW35"/>
      <c r="DX35"/>
      <c r="DY35"/>
      <c r="DZ35"/>
      <c r="EA35"/>
      <c r="EB35"/>
      <c r="EC35"/>
      <c r="ED35"/>
      <c r="EE35"/>
      <c r="EF35"/>
      <c r="EG35"/>
      <c r="EH35"/>
      <c r="EI35"/>
      <c r="EJ35"/>
      <c r="EK35"/>
      <c r="EL35"/>
      <c r="EM35"/>
      <c r="EN35"/>
      <c r="EO35"/>
      <c r="EP35"/>
      <c r="EQ35"/>
      <c r="ER35"/>
      <c r="ES35"/>
      <c r="ET35"/>
      <c r="EU35"/>
      <c r="EV35"/>
      <c r="EW35"/>
      <c r="EX35"/>
      <c r="EY35"/>
      <c r="EZ35"/>
      <c r="FA35"/>
      <c r="FB35"/>
      <c r="FC35"/>
      <c r="FD35"/>
      <c r="FE35"/>
      <c r="FF35"/>
      <c r="FG35"/>
      <c r="FH35"/>
      <c r="FI35"/>
      <c r="FJ35"/>
      <c r="FK35"/>
      <c r="FL35"/>
      <c r="FM35"/>
      <c r="FN35"/>
      <c r="FO35"/>
      <c r="FP35"/>
      <c r="FQ35"/>
      <c r="FR35"/>
      <c r="FS35"/>
      <c r="FT35"/>
      <c r="FU35"/>
      <c r="FV35"/>
      <c r="FW35"/>
      <c r="FX35"/>
      <c r="FY35"/>
      <c r="FZ35"/>
      <c r="GA35"/>
      <c r="GB35"/>
      <c r="GC35"/>
      <c r="GD35"/>
      <c r="GE35"/>
      <c r="GF35"/>
      <c r="GG35"/>
      <c r="GH35"/>
      <c r="GI35"/>
      <c r="GJ35"/>
      <c r="GK35"/>
      <c r="GL35"/>
      <c r="GM35"/>
      <c r="GN35"/>
      <c r="GO35"/>
      <c r="GP35"/>
      <c r="GQ35"/>
      <c r="GR35"/>
      <c r="GS35"/>
      <c r="GT35"/>
      <c r="GU35"/>
      <c r="GV35"/>
      <c r="GW35"/>
      <c r="GX35"/>
      <c r="GY35"/>
      <c r="GZ35"/>
      <c r="HA35"/>
      <c r="HB35"/>
      <c r="HC35"/>
      <c r="HD35"/>
      <c r="HE35"/>
      <c r="HF35"/>
      <c r="HG35"/>
      <c r="HH35"/>
      <c r="HI35"/>
      <c r="HJ35"/>
      <c r="HK35"/>
      <c r="HL35"/>
      <c r="HM35"/>
      <c r="HN35"/>
      <c r="HO35"/>
      <c r="HP35"/>
      <c r="HQ35"/>
      <c r="HR35"/>
      <c r="HS35"/>
      <c r="HT35"/>
      <c r="HU35"/>
      <c r="HV35"/>
      <c r="HW35"/>
      <c r="HX35"/>
      <c r="HY35"/>
      <c r="HZ35"/>
      <c r="IA35"/>
      <c r="IB35"/>
      <c r="IC35"/>
      <c r="ID35"/>
      <c r="IE35"/>
      <c r="IF35"/>
      <c r="IG35"/>
      <c r="IH35"/>
      <c r="II35"/>
      <c r="IJ35"/>
      <c r="IK35"/>
      <c r="IL35"/>
      <c r="IM35"/>
      <c r="IN35"/>
      <c r="IO35"/>
      <c r="IP35"/>
      <c r="IQ35"/>
      <c r="IR35"/>
      <c r="IS35"/>
      <c r="IT35"/>
      <c r="IU35"/>
      <c r="IV35"/>
      <c r="IW35"/>
      <c r="IX35"/>
      <c r="IY35"/>
      <c r="IZ35"/>
      <c r="JA35"/>
      <c r="JB35"/>
      <c r="JC35"/>
      <c r="JD35"/>
      <c r="JE35"/>
      <c r="JF35"/>
      <c r="JG35"/>
      <c r="JH35"/>
      <c r="JI35"/>
      <c r="JJ35"/>
      <c r="JK35"/>
      <c r="JL35"/>
      <c r="JM35"/>
      <c r="JN35"/>
      <c r="JO35"/>
      <c r="JP35"/>
      <c r="JQ35"/>
      <c r="JR35"/>
      <c r="JS35"/>
      <c r="JT35"/>
      <c r="JU35"/>
      <c r="JV35"/>
      <c r="JW35"/>
      <c r="JX35"/>
      <c r="JY35"/>
      <c r="JZ35"/>
      <c r="KA35"/>
      <c r="KB35"/>
    </row>
    <row r="36" spans="1:288" x14ac:dyDescent="0.25">
      <c r="A36" s="255"/>
      <c r="B36" s="255"/>
      <c r="C36" s="266" t="s">
        <v>141</v>
      </c>
      <c r="D36" s="252" t="str">
        <f>C36</f>
        <v>ft3</v>
      </c>
      <c r="E36" s="252" t="str">
        <f>IF(C36="ft3","m3","ft3")</f>
        <v>m3</v>
      </c>
      <c r="F36" s="252" t="str">
        <f>IF(C36="ft3","m3","ft3")</f>
        <v>m3</v>
      </c>
      <c r="G36" s="255"/>
      <c r="H36" s="266" t="s">
        <v>142</v>
      </c>
      <c r="I36" s="255"/>
      <c r="J36" s="346" t="s">
        <v>377</v>
      </c>
      <c r="K36" s="295">
        <f>M42</f>
        <v>9048.6733368055629</v>
      </c>
      <c r="L36" s="322">
        <v>72.42</v>
      </c>
      <c r="M36" s="294">
        <f>K36*L36</f>
        <v>655304.9230514589</v>
      </c>
      <c r="N36" s="255">
        <v>101.22</v>
      </c>
      <c r="O36" s="255"/>
      <c r="P36" s="316"/>
      <c r="Q36" s="255"/>
      <c r="R36" s="255"/>
      <c r="S36" s="255"/>
      <c r="T36" s="255"/>
      <c r="U36" s="309" t="s">
        <v>141</v>
      </c>
      <c r="V36">
        <v>2.8316000000000001E-2</v>
      </c>
      <c r="W36">
        <v>1</v>
      </c>
      <c r="X36">
        <f>IFERROR(1/IF(AND(C32="ft3",C34="Tm"),C33,IF(AND(D32="ft3",D34="Tm"),D33,IF(AND(E32="ft3",E34="Tm"),E33,IF(AND(F32="ft3",F34="Tm"),F33,0)))),0)</f>
        <v>2.4191666666666663E-2</v>
      </c>
      <c r="Y36">
        <f>IFERROR(1/IF(AND(C32="ft3",C34="LT"),C33,IF(AND(D32="ft3",D34="LT"),D33,IF(AND(E32="ft3",E34="LT"),E33,IF(AND(F32="ft3",F34="LT"),F33,0)))),0)</f>
        <v>2.3809523809523808E-2</v>
      </c>
      <c r="Z36" s="255"/>
      <c r="AA36" s="309" t="s">
        <v>141</v>
      </c>
      <c r="AB36">
        <v>2.8316000000000001E-2</v>
      </c>
      <c r="AC36">
        <v>1</v>
      </c>
      <c r="AD36">
        <f>IFERROR(1/IF(AND(C36="ft3",C38="Tm"),C37,IF(AND(D36="ft3",D38="Tm"),D37,IF(AND(E36="ft3",E38="Tm"),E37,IF(AND(F36="ft3",F38="Tm"),F37,0)))),0)</f>
        <v>2.5401249999999997E-2</v>
      </c>
      <c r="AE36">
        <f>IFERROR(1/IF(AND(C36="ft3",C38="LT"),C37,IF(AND(D36="ft3",D38="LT"),D37,IF(AND(E36="ft3",E38="LT"),E37,IF(AND(F36="ft3",F38="LT"),F37,0)))),0)</f>
        <v>2.5000000000000001E-2</v>
      </c>
      <c r="AF36" s="255"/>
      <c r="AG36" s="255"/>
      <c r="AH36" s="255"/>
      <c r="AI36" s="255"/>
      <c r="AJ36" s="255" t="s">
        <v>400</v>
      </c>
      <c r="AK36" s="282">
        <v>10.6</v>
      </c>
      <c r="AL36">
        <v>71016</v>
      </c>
      <c r="AM36">
        <v>69831</v>
      </c>
      <c r="AN36">
        <v>68646</v>
      </c>
      <c r="AO36">
        <v>67461</v>
      </c>
      <c r="AP36">
        <v>66276</v>
      </c>
      <c r="AQ36">
        <v>65090</v>
      </c>
      <c r="AR36">
        <v>63905</v>
      </c>
      <c r="AS36">
        <v>62720</v>
      </c>
      <c r="AT36">
        <v>61535</v>
      </c>
      <c r="AU36">
        <v>60350</v>
      </c>
      <c r="AV36">
        <v>59164</v>
      </c>
      <c r="AW36">
        <v>57979</v>
      </c>
      <c r="AX36">
        <v>56794</v>
      </c>
      <c r="AY36">
        <v>55009</v>
      </c>
      <c r="AZ36">
        <v>54424</v>
      </c>
      <c r="BA36">
        <v>53239</v>
      </c>
      <c r="BB36">
        <v>52054</v>
      </c>
      <c r="BC36">
        <v>50869</v>
      </c>
      <c r="BD36">
        <v>49684</v>
      </c>
      <c r="BE36">
        <v>48499</v>
      </c>
      <c r="BF36">
        <v>47313</v>
      </c>
      <c r="BG36">
        <v>46128</v>
      </c>
      <c r="BH36">
        <v>44943</v>
      </c>
      <c r="BI36">
        <v>43759</v>
      </c>
      <c r="BJ36">
        <v>42574</v>
      </c>
      <c r="BK36">
        <v>41389</v>
      </c>
      <c r="BL36">
        <v>40204</v>
      </c>
      <c r="BM36">
        <v>39019</v>
      </c>
      <c r="BN36">
        <v>37834</v>
      </c>
      <c r="BO36">
        <v>36648</v>
      </c>
      <c r="BP36" s="255"/>
      <c r="BQ36" s="255"/>
      <c r="BR36" s="255"/>
      <c r="BS36" s="255"/>
    </row>
    <row r="37" spans="1:288" x14ac:dyDescent="0.25">
      <c r="A37" s="255"/>
      <c r="B37" s="267" t="s">
        <v>145</v>
      </c>
      <c r="C37" s="324">
        <v>40</v>
      </c>
      <c r="D37" s="301">
        <f>C37
* IF(AND(C36="ft3",D36="m3"),0.028316,
    IF(AND(C36="m3",D36="ft3"),1/0.028316,
    1))
* IF(AND(C38="Tm",D38="LT"),1.01605,
    IF(AND(C38="LT",D38="Tm"),1/1.01605,
    1))</f>
        <v>39.368141331627385</v>
      </c>
      <c r="E37" s="301">
        <f>C37
* IF(AND(C36="ft3",E36="m3"),0.028316,
    IF(AND(C36="m3",E36="ft3"),1/0.028316,
    1))
* IF(AND(C38="Tm",E38="LT"),1.01605,
    IF(AND(C38="LT",E38="Tm"),1/1.01605,
    1))</f>
        <v>1.1326400000000001</v>
      </c>
      <c r="F37" s="301">
        <f>C37
* IF(AND(C36="ft3",F36="m3"),0.028316,
    IF(AND(C36="m3",F36="ft3"),1/0.028316,
    1))
* IF(AND(C38="Tm",F38="LT"),1.01605,
    IF(AND(C38="LT",F38="Tm"),1/1.01605,
    1))</f>
        <v>1.1147482899463612</v>
      </c>
      <c r="G37" s="254" cm="1">
        <f t="array" ref="G37">INDEX(C37:F37,MATCH(1,(C36:F36="m3")*(C38:F38="Tm"),0))</f>
        <v>1.1147482899463612</v>
      </c>
      <c r="H37" s="266" t="s">
        <v>95</v>
      </c>
      <c r="I37" s="255"/>
      <c r="J37" s="314" t="s">
        <v>363</v>
      </c>
      <c r="K37" s="321">
        <v>-456.8</v>
      </c>
      <c r="L37" s="322">
        <v>17.695</v>
      </c>
      <c r="M37" s="294">
        <f>K37*L37</f>
        <v>-8083.076</v>
      </c>
      <c r="N37" s="255">
        <v>72.42</v>
      </c>
      <c r="O37" s="255"/>
      <c r="P37" s="316"/>
      <c r="Q37" s="255"/>
      <c r="R37" s="237" t="str">
        <f>IF(S35="Pt. Da Buitra","D =","C =")</f>
        <v>C =</v>
      </c>
      <c r="S37" s="347">
        <f>S24</f>
        <v>12.327</v>
      </c>
      <c r="T37" s="255"/>
      <c r="U37" s="309" t="s">
        <v>95</v>
      </c>
      <c r="V37">
        <f>IF(AND(C32="m3",C34="Tm"),C33,IF(AND(D32="m3",D34="Tm"),D33,IF(AND(E32="m3",E34="Tm"),E33,IF(AND(F32="m3",F34="Tm"),F33,0))))</f>
        <v>1.1704857044436792</v>
      </c>
      <c r="W37">
        <f>IF(AND(C32="ft3",C34="Tm"),C33,IF(AND(D32="ft3",D34="Tm"),D33,IF(AND(E32="ft3",E34="Tm"),E33,IF(AND(F32="ft3",F34="Tm"),F33,0))))</f>
        <v>41.336548398208755</v>
      </c>
      <c r="X37">
        <v>1</v>
      </c>
      <c r="Y37">
        <v>0.98420353329999999</v>
      </c>
      <c r="Z37" s="255"/>
      <c r="AA37" s="309" t="s">
        <v>95</v>
      </c>
      <c r="AB37">
        <f>IF(AND(C36="m3",C38="Tm"),C37,IF(AND(D36="m3",D38="Tm"),D37,IF(AND(E36="m3",E38="Tm"),E37,IF(AND(F36="m3",F38="Tm"),F37,0))))</f>
        <v>1.1147482899463612</v>
      </c>
      <c r="AC37">
        <f>IF(AND(C36="ft3",C38="Tm"),C37,IF(AND(D36="ft3",D38="Tm"),D37,IF(AND(E36="ft3",E38="Tm"),E37,IF(AND(F36="ft3",F38="Tm"),F37,0))))</f>
        <v>39.368141331627385</v>
      </c>
      <c r="AD37">
        <v>1</v>
      </c>
      <c r="AE37">
        <v>0.98420353329999999</v>
      </c>
      <c r="AF37" s="255"/>
      <c r="AG37" s="255"/>
      <c r="AH37" s="255"/>
      <c r="AI37" s="255"/>
      <c r="AJ37" s="255"/>
      <c r="AK37" s="282">
        <v>10.7</v>
      </c>
      <c r="AL37">
        <v>71520</v>
      </c>
      <c r="AM37">
        <v>70323</v>
      </c>
      <c r="AN37">
        <v>69125</v>
      </c>
      <c r="AO37">
        <v>67927</v>
      </c>
      <c r="AP37">
        <v>66730</v>
      </c>
      <c r="AQ37">
        <v>65532</v>
      </c>
      <c r="AR37">
        <v>64334</v>
      </c>
      <c r="AS37">
        <v>63136</v>
      </c>
      <c r="AT37">
        <v>61939</v>
      </c>
      <c r="AU37">
        <v>60741</v>
      </c>
      <c r="AV37">
        <v>59543</v>
      </c>
      <c r="AW37">
        <v>58346</v>
      </c>
      <c r="AX37">
        <v>57148</v>
      </c>
      <c r="AY37">
        <v>55950</v>
      </c>
      <c r="AZ37">
        <v>54753</v>
      </c>
      <c r="BA37">
        <v>53555</v>
      </c>
      <c r="BB37">
        <v>52357</v>
      </c>
      <c r="BC37">
        <v>51160</v>
      </c>
      <c r="BD37">
        <v>49963</v>
      </c>
      <c r="BE37">
        <v>48765</v>
      </c>
      <c r="BF37">
        <v>47567</v>
      </c>
      <c r="BG37">
        <v>46370</v>
      </c>
      <c r="BH37">
        <v>45172</v>
      </c>
      <c r="BI37">
        <v>43975</v>
      </c>
      <c r="BJ37">
        <v>42777</v>
      </c>
      <c r="BK37">
        <v>41569</v>
      </c>
      <c r="BL37">
        <v>40403</v>
      </c>
      <c r="BM37">
        <v>39185</v>
      </c>
      <c r="BN37">
        <v>37988</v>
      </c>
      <c r="BO37">
        <v>36791</v>
      </c>
      <c r="BP37" s="255"/>
      <c r="BQ37" s="255"/>
      <c r="BR37" s="255"/>
      <c r="BS37" s="255"/>
    </row>
    <row r="38" spans="1:288" x14ac:dyDescent="0.25">
      <c r="A38" s="255"/>
      <c r="B38" s="255"/>
      <c r="C38" s="266" t="s">
        <v>393</v>
      </c>
      <c r="D38" s="252" t="str">
        <f>IF(C38="Tm","LT","Tm")</f>
        <v>Tm</v>
      </c>
      <c r="E38" s="252" t="str">
        <f>C38</f>
        <v>LT</v>
      </c>
      <c r="F38" s="252" t="str">
        <f>IF(C38="Tm","LT","Tm")</f>
        <v>Tm</v>
      </c>
      <c r="G38" s="255"/>
      <c r="H38" s="255"/>
      <c r="I38" s="255"/>
      <c r="J38" s="314" t="s">
        <v>460</v>
      </c>
      <c r="K38" s="321"/>
      <c r="L38" s="322"/>
      <c r="M38" s="294">
        <f>K38*L38</f>
        <v>0</v>
      </c>
      <c r="N38" s="255">
        <v>43.26</v>
      </c>
      <c r="O38" s="255"/>
      <c r="P38" s="316"/>
      <c r="Q38" s="255"/>
      <c r="R38" s="237" t="s">
        <v>127</v>
      </c>
      <c r="S38" s="247" cm="1">
        <f t="array" ref="S38">IFERROR(INDEX(AQ63:AQ171,MATCH(S37,AP64:AP171,1)) +
((S37-INDEX(AP64:AP171,MATCH(S37,AP64:AP171,1))) /
(INDEX(AP64:AP171,MATCH(S37,AP64:AP171,1)+1)-INDEX(AP64:AP171,MATCH(S37,AP64:AP171,1)))) *
(INDEX(AQ63:AQ171,MATCH(S37,AP64:AP171,1)+1)-INDEX(AQ63:AQ171,MATCH(S37,AP64:AP171,1))),0)</f>
        <v>13.6873</v>
      </c>
      <c r="T38" s="255"/>
      <c r="U38" s="309" t="s">
        <v>393</v>
      </c>
      <c r="V38">
        <f>IF(AND(C32="m3",C34="LT"),C33,IF(AND(D32="m3",D34="LT"),D33,IF(AND(E32="m3",E34="LT"),E33,IF(AND(F32="m3",F34="LT"),F33,0))))</f>
        <v>1.1892720000000001</v>
      </c>
      <c r="W38">
        <f>IF(AND(C32="ft3",C34="LT"),C33,IF(AND(D32="ft3",D34="LT"),D33,IF(AND(E32="ft3",E34="LT"),E33,IF(AND(F32="ft3",F34="LT"),F33,0))))</f>
        <v>42</v>
      </c>
      <c r="X38">
        <v>1.0160499999999999</v>
      </c>
      <c r="Y38">
        <v>1</v>
      </c>
      <c r="Z38" s="255"/>
      <c r="AA38" s="309" t="s">
        <v>393</v>
      </c>
      <c r="AB38">
        <f>IF(AND(C36="m3",C38="LT"),C37,IF(AND(D36="m3",D38="LT"),D37,IF(AND(E36="m3",E38="LT"),E37,IF(AND(F36="m3",F38="LT"),F37,0))))</f>
        <v>1.1326400000000001</v>
      </c>
      <c r="AC38">
        <f>IF(AND(C36="ft3",C38="LT"),C37,IF(AND(D36="ft3",D38="LT"),D37,IF(AND(E36="ft3",E38="LT"),E37,IF(AND(F36="ft3",F38="LT"),F37,0))))</f>
        <v>40</v>
      </c>
      <c r="AD38">
        <v>1.0160499999999999</v>
      </c>
      <c r="AE38">
        <v>1</v>
      </c>
      <c r="AF38" s="255"/>
      <c r="AG38" s="255"/>
      <c r="AH38" s="255"/>
      <c r="AI38" s="255"/>
      <c r="AJ38" s="255"/>
      <c r="AK38" s="282">
        <v>10.8</v>
      </c>
      <c r="AL38">
        <v>72042</v>
      </c>
      <c r="AM38">
        <v>70831</v>
      </c>
      <c r="AN38">
        <v>69621</v>
      </c>
      <c r="AO38">
        <v>68411</v>
      </c>
      <c r="AP38">
        <v>67201</v>
      </c>
      <c r="AQ38">
        <v>65991</v>
      </c>
      <c r="AR38">
        <v>64780</v>
      </c>
      <c r="AS38">
        <v>63570</v>
      </c>
      <c r="AT38">
        <v>62360</v>
      </c>
      <c r="AU38">
        <v>61150</v>
      </c>
      <c r="AV38">
        <v>59939</v>
      </c>
      <c r="AW38">
        <v>58729</v>
      </c>
      <c r="AX38">
        <v>57519</v>
      </c>
      <c r="AY38">
        <v>56309</v>
      </c>
      <c r="AZ38">
        <v>55099</v>
      </c>
      <c r="BA38">
        <v>53889</v>
      </c>
      <c r="BB38">
        <v>52679</v>
      </c>
      <c r="BC38">
        <v>51469</v>
      </c>
      <c r="BD38">
        <v>50258</v>
      </c>
      <c r="BE38">
        <v>49048</v>
      </c>
      <c r="BF38">
        <v>47838</v>
      </c>
      <c r="BG38">
        <v>46628</v>
      </c>
      <c r="BH38">
        <v>45418</v>
      </c>
      <c r="BI38">
        <v>44208</v>
      </c>
      <c r="BJ38">
        <v>42998</v>
      </c>
      <c r="BK38">
        <v>41788</v>
      </c>
      <c r="BL38">
        <v>40578</v>
      </c>
      <c r="BM38">
        <v>39368</v>
      </c>
      <c r="BN38">
        <v>38158</v>
      </c>
      <c r="BO38">
        <v>36949</v>
      </c>
      <c r="BP38" s="255"/>
      <c r="BQ38" s="255"/>
      <c r="BR38" s="255"/>
      <c r="BS38" s="255"/>
    </row>
    <row r="39" spans="1:288" x14ac:dyDescent="0.25">
      <c r="A39" s="255"/>
      <c r="B39" s="255"/>
      <c r="C39" s="255"/>
      <c r="D39" s="255"/>
      <c r="E39" s="255"/>
      <c r="F39" s="255"/>
      <c r="G39" s="255"/>
      <c r="H39" s="255"/>
      <c r="I39" s="255"/>
      <c r="J39" s="255"/>
      <c r="K39" s="326"/>
      <c r="L39" s="326"/>
      <c r="M39" s="255"/>
      <c r="N39" s="255">
        <v>17.695</v>
      </c>
      <c r="O39" s="255"/>
      <c r="P39" s="255"/>
      <c r="Q39" s="255"/>
      <c r="R39" s="255"/>
      <c r="S39" s="255"/>
      <c r="T39" s="255"/>
      <c r="U39" s="255"/>
      <c r="V39" s="255"/>
      <c r="W39" s="255"/>
      <c r="X39" s="255"/>
      <c r="Y39" s="255"/>
      <c r="Z39" s="255"/>
      <c r="AA39" s="255"/>
      <c r="AB39" s="255"/>
      <c r="AC39" s="255"/>
      <c r="AD39" s="255"/>
      <c r="AE39" s="255"/>
      <c r="AF39" s="255"/>
      <c r="AG39" s="255"/>
      <c r="AH39" s="255"/>
      <c r="AI39" s="255"/>
      <c r="AJ39" s="255"/>
      <c r="AK39" s="282">
        <v>10.9</v>
      </c>
      <c r="AL39">
        <v>72581</v>
      </c>
      <c r="AM39">
        <v>71359</v>
      </c>
      <c r="AN39">
        <v>70136</v>
      </c>
      <c r="AO39">
        <v>68913</v>
      </c>
      <c r="AP39">
        <v>67690</v>
      </c>
      <c r="AQ39">
        <v>66468</v>
      </c>
      <c r="AR39">
        <v>65245</v>
      </c>
      <c r="AS39">
        <v>64022</v>
      </c>
      <c r="AT39">
        <v>62799</v>
      </c>
      <c r="AU39">
        <v>61577</v>
      </c>
      <c r="AV39">
        <v>60353</v>
      </c>
      <c r="AW39">
        <v>59131</v>
      </c>
      <c r="AX39">
        <v>57908</v>
      </c>
      <c r="AY39">
        <v>56685</v>
      </c>
      <c r="AZ39">
        <v>55463</v>
      </c>
      <c r="BA39">
        <v>54240</v>
      </c>
      <c r="BB39">
        <v>53017</v>
      </c>
      <c r="BC39">
        <v>51795</v>
      </c>
      <c r="BD39">
        <v>50572</v>
      </c>
      <c r="BE39">
        <v>49349</v>
      </c>
      <c r="BF39">
        <v>48126</v>
      </c>
      <c r="BG39">
        <v>46904</v>
      </c>
      <c r="BH39">
        <v>45681</v>
      </c>
      <c r="BI39">
        <v>44459</v>
      </c>
      <c r="BJ39">
        <v>43236</v>
      </c>
      <c r="BK39">
        <v>42014</v>
      </c>
      <c r="BL39">
        <v>40791</v>
      </c>
      <c r="BM39">
        <v>39568</v>
      </c>
      <c r="BN39">
        <v>38346</v>
      </c>
      <c r="BO39">
        <v>37124</v>
      </c>
      <c r="BP39" s="255"/>
      <c r="BQ39" s="255"/>
      <c r="BR39" s="255"/>
      <c r="BS39" s="255"/>
    </row>
    <row r="40" spans="1:288" x14ac:dyDescent="0.25">
      <c r="A40" s="255"/>
      <c r="B40" s="239" t="s">
        <v>146</v>
      </c>
      <c r="C40" s="240" t="s">
        <v>372</v>
      </c>
      <c r="D40" s="239" t="s">
        <v>143</v>
      </c>
      <c r="E40" s="239" t="s">
        <v>125</v>
      </c>
      <c r="F40" s="255"/>
      <c r="G40" s="255"/>
      <c r="H40" s="255"/>
      <c r="I40" s="255"/>
      <c r="J40" s="239" t="s">
        <v>380</v>
      </c>
      <c r="K40" s="321">
        <v>62936</v>
      </c>
      <c r="L40" s="322">
        <v>96.573999999999998</v>
      </c>
      <c r="M40" s="296">
        <f t="shared" ref="M40" si="9">K40*L40</f>
        <v>6077981.2639999995</v>
      </c>
      <c r="N40" s="255"/>
      <c r="O40" s="255"/>
      <c r="P40" s="359" t="s">
        <v>387</v>
      </c>
      <c r="Q40" s="240" t="s">
        <v>481</v>
      </c>
      <c r="R40" s="240" t="s">
        <v>482</v>
      </c>
      <c r="S40" s="255"/>
      <c r="T40" s="255"/>
      <c r="U40" s="255"/>
      <c r="V40" s="255"/>
      <c r="W40" s="255"/>
      <c r="X40" s="255"/>
      <c r="Y40" s="255"/>
      <c r="Z40" s="255"/>
      <c r="AA40" s="255"/>
      <c r="AB40" s="255"/>
      <c r="AC40" s="255"/>
      <c r="AD40" s="255"/>
      <c r="AE40" s="255"/>
      <c r="AF40" s="255"/>
      <c r="AG40" s="255"/>
      <c r="AH40" s="255"/>
      <c r="AI40" s="255"/>
      <c r="AJ40" s="255"/>
      <c r="AK40" s="282">
        <v>11</v>
      </c>
      <c r="AL40">
        <v>73139</v>
      </c>
      <c r="AM40">
        <v>71904</v>
      </c>
      <c r="AN40">
        <v>70669</v>
      </c>
      <c r="AO40">
        <v>69433</v>
      </c>
      <c r="AP40">
        <v>68198</v>
      </c>
      <c r="AQ40">
        <v>66963</v>
      </c>
      <c r="AR40">
        <v>65728</v>
      </c>
      <c r="AS40">
        <v>64492</v>
      </c>
      <c r="AT40">
        <v>63257</v>
      </c>
      <c r="AU40">
        <v>62022</v>
      </c>
      <c r="AV40">
        <v>60786</v>
      </c>
      <c r="AW40">
        <v>59551</v>
      </c>
      <c r="AX40">
        <v>58315</v>
      </c>
      <c r="AY40">
        <v>57080</v>
      </c>
      <c r="AZ40">
        <v>55845</v>
      </c>
      <c r="BA40">
        <v>54610</v>
      </c>
      <c r="BB40">
        <v>53374</v>
      </c>
      <c r="BC40">
        <v>52139</v>
      </c>
      <c r="BD40">
        <v>50904</v>
      </c>
      <c r="BE40">
        <v>49669</v>
      </c>
      <c r="BF40">
        <v>48433</v>
      </c>
      <c r="BG40">
        <v>47198</v>
      </c>
      <c r="BH40">
        <v>45963</v>
      </c>
      <c r="BI40">
        <v>44727</v>
      </c>
      <c r="BJ40">
        <v>43492</v>
      </c>
      <c r="BK40">
        <v>42257</v>
      </c>
      <c r="BL40">
        <v>41022</v>
      </c>
      <c r="BM40">
        <v>39787</v>
      </c>
      <c r="BN40">
        <v>38551</v>
      </c>
      <c r="BO40">
        <v>37316</v>
      </c>
      <c r="BP40" s="255"/>
      <c r="BQ40" s="255"/>
      <c r="BR40" s="255"/>
      <c r="BS40" s="255"/>
    </row>
    <row r="41" spans="1:288" x14ac:dyDescent="0.25">
      <c r="A41" s="255"/>
      <c r="B41" s="325"/>
      <c r="C41" s="292">
        <v>100</v>
      </c>
      <c r="D41" s="348"/>
      <c r="E41" s="349">
        <f>IFERROR((B41/D41)*(C41/100),0)</f>
        <v>0</v>
      </c>
      <c r="F41" s="255"/>
      <c r="G41" s="311"/>
      <c r="H41" s="255"/>
      <c r="I41" s="255"/>
      <c r="J41" s="255"/>
      <c r="K41" s="255"/>
      <c r="L41" s="265" t="s">
        <v>374</v>
      </c>
      <c r="M41" s="298">
        <f>IFERROR((L40*K40 - K38*L38- K37*L37-K34*L34 - (K40-K37-K34-K38)*L36)/(L35-L36),0)</f>
        <v>8914.3266631944334</v>
      </c>
      <c r="N41" s="361" t="s">
        <v>485</v>
      </c>
      <c r="O41" s="360" t="s">
        <v>492</v>
      </c>
      <c r="P41" s="321">
        <v>12431.5</v>
      </c>
      <c r="Q41" s="295" cm="1">
        <f t="array" ref="Q41">IFERROR(INDEX(AU65:AU110,MATCH(P41,AT65:AT110,-1)) + (P41 - INDEX(AT65:AT110,MATCH(P41,AT65:AT110,-1))) * (INDEX(AU65:AU110,MATCH(P41,AT65:AT110,-1)+1) - INDEX(AU65:AU110,MATCH(P41,AT65:AT110,-1))) / (INDEX(AT65:AT110,MATCH(P41,AT65:AT110,-1)+1) - INDEX(AT65:AT110,MATCH(P41,AT65:AT110,-1))),0)</f>
        <v>536</v>
      </c>
      <c r="R41" s="244" cm="1">
        <f t="array" ref="R41">IFERROR(INDEX(AV65:AV110,MATCH(P41,AT65:AT110,-1)) + (P41 - INDEX(AT65:AT110,MATCH(P41,AT65:AT110,-1))) * (INDEX(AV65:AV110,MATCH(P41,AT65:AT110,-1)+1) - INDEX(AV65:AV110,MATCH(P41,AT65:AT110,-1))) / (INDEX(AT65:AT110,MATCH(P41,AT65:AT110,-1)+1) - INDEX(AT65:AT110,MATCH(P41,AT65:AT110,-1))), 0)</f>
        <v>10.119999999999999</v>
      </c>
      <c r="S41" s="255"/>
      <c r="T41" s="255"/>
      <c r="U41" s="255"/>
      <c r="V41" s="255"/>
      <c r="W41" s="255"/>
      <c r="X41" s="255"/>
      <c r="Y41" s="255"/>
      <c r="Z41" s="255"/>
      <c r="AA41" s="255"/>
      <c r="AB41" s="255"/>
      <c r="AC41" s="255"/>
      <c r="AD41" s="255"/>
      <c r="AE41" s="255"/>
      <c r="AF41" s="255"/>
      <c r="AG41" s="255"/>
      <c r="AH41" s="255"/>
      <c r="AI41" s="255"/>
      <c r="AJ41" s="255"/>
      <c r="AK41" s="282">
        <v>11.1</v>
      </c>
      <c r="AL41">
        <v>73716</v>
      </c>
      <c r="AM41">
        <v>72468</v>
      </c>
      <c r="AN41">
        <v>71221</v>
      </c>
      <c r="AO41">
        <v>69973</v>
      </c>
      <c r="AP41">
        <v>68725</v>
      </c>
      <c r="AQ41">
        <v>67477</v>
      </c>
      <c r="AR41">
        <v>66229</v>
      </c>
      <c r="AS41">
        <v>64981</v>
      </c>
      <c r="AT41">
        <v>63734</v>
      </c>
      <c r="AU41">
        <v>62486</v>
      </c>
      <c r="AV41">
        <v>61237</v>
      </c>
      <c r="AW41">
        <v>59989</v>
      </c>
      <c r="AX41">
        <v>58742</v>
      </c>
      <c r="AY41">
        <v>57494</v>
      </c>
      <c r="AZ41">
        <v>56246</v>
      </c>
      <c r="BA41">
        <v>54998</v>
      </c>
      <c r="BB41">
        <v>53750</v>
      </c>
      <c r="BC41">
        <v>52502</v>
      </c>
      <c r="BD41">
        <v>51254</v>
      </c>
      <c r="BE41">
        <v>50007</v>
      </c>
      <c r="BF41">
        <v>48758</v>
      </c>
      <c r="BG41">
        <v>47510</v>
      </c>
      <c r="BH41">
        <v>46262</v>
      </c>
      <c r="BI41">
        <v>45015</v>
      </c>
      <c r="BJ41">
        <v>43767</v>
      </c>
      <c r="BK41">
        <v>42519</v>
      </c>
      <c r="BL41">
        <v>41271</v>
      </c>
      <c r="BM41">
        <v>40023</v>
      </c>
      <c r="BN41">
        <v>38775</v>
      </c>
      <c r="BO41">
        <v>37528</v>
      </c>
      <c r="BP41" s="255"/>
      <c r="BQ41" s="255"/>
      <c r="BR41" s="255"/>
      <c r="BS41" s="255"/>
    </row>
    <row r="42" spans="1:288" x14ac:dyDescent="0.25">
      <c r="A42" s="255"/>
      <c r="B42" s="325"/>
      <c r="C42" s="292">
        <v>100</v>
      </c>
      <c r="D42" s="348"/>
      <c r="E42" s="349">
        <f t="shared" ref="E42:E54" si="10">IFERROR((B42/D42)*(C42/100),0)</f>
        <v>0</v>
      </c>
      <c r="F42" s="255"/>
      <c r="G42" s="255"/>
      <c r="H42" s="255"/>
      <c r="I42" s="255"/>
      <c r="J42" s="255"/>
      <c r="K42" s="255"/>
      <c r="L42" s="265" t="s">
        <v>375</v>
      </c>
      <c r="M42" s="297">
        <f>K40-K34-M41-K37-K38</f>
        <v>9048.6733368055629</v>
      </c>
      <c r="N42" s="361" t="s">
        <v>486</v>
      </c>
      <c r="O42" s="360" t="s">
        <v>477</v>
      </c>
      <c r="P42" s="321">
        <v>9937.2000000000007</v>
      </c>
      <c r="Q42" s="295" cm="1">
        <f t="array" ref="Q42">IFERROR(INDEX(AY65:AY110,MATCH(P42,AX65:AX110,-1)) + (P42 - INDEX(AX65:AX110,MATCH(P42,AX65:AX110,-1))) * (INDEX(AY65:AY110,MATCH(P42,AX65:AX110,-1)+1) - INDEX(AY65:AY110,MATCH(P42,AX65:AX110,-1))) / (INDEX(AX65:AX110,MATCH(P42,AX65:AX110,-1)+1) - INDEX(AX65:AX110,MATCH(P42,AX65:AX110,-1))), 0)</f>
        <v>21778.996934396073</v>
      </c>
      <c r="R42" s="244" cm="1">
        <f t="array" ref="R42">IFERROR(INDEX(AZ65:AZ110,MATCH(P42,AX65:AX110,-1)) + (P42 - INDEX(AX65:AX110,MATCH(P42,AX65:AX110,-1))) * (INDEX(AZ65:AZ110,MATCH(P42,AX65:AX110,-1)+1) - INDEX(AZ65:AZ110,MATCH(P42,AX65:AX110,-1))) / (INDEX(AX65:AX110,MATCH(P42,AX65:AX110,-1)+1) - INDEX(AX65:AX110,MATCH(P42,AX65:AX110,-1))), 0)</f>
        <v>8.029540159411404</v>
      </c>
      <c r="S42" s="255"/>
      <c r="T42" s="255"/>
      <c r="U42" s="255"/>
      <c r="V42" s="255"/>
      <c r="W42" s="255"/>
      <c r="X42" s="255"/>
      <c r="Y42" s="255"/>
      <c r="Z42" s="255"/>
      <c r="AA42" s="255"/>
      <c r="AB42" s="255"/>
      <c r="AC42" s="255"/>
      <c r="AD42" s="255"/>
      <c r="AE42" s="255"/>
      <c r="AF42" s="255"/>
      <c r="AG42" s="255"/>
      <c r="AH42" s="255"/>
      <c r="AI42" s="255"/>
      <c r="AJ42" s="255"/>
      <c r="AK42" s="282">
        <v>11.2</v>
      </c>
      <c r="AL42">
        <v>74313</v>
      </c>
      <c r="AM42">
        <v>73053</v>
      </c>
      <c r="AN42">
        <v>71792</v>
      </c>
      <c r="AO42">
        <v>70532</v>
      </c>
      <c r="AP42">
        <v>69271</v>
      </c>
      <c r="AQ42">
        <v>68011</v>
      </c>
      <c r="AR42">
        <v>66751</v>
      </c>
      <c r="AS42">
        <v>65490</v>
      </c>
      <c r="AT42">
        <v>64230</v>
      </c>
      <c r="AU42">
        <v>62969</v>
      </c>
      <c r="AV42">
        <v>61708</v>
      </c>
      <c r="AW42">
        <v>60448</v>
      </c>
      <c r="AX42">
        <v>59187</v>
      </c>
      <c r="AY42">
        <v>57927</v>
      </c>
      <c r="AZ42">
        <v>56666</v>
      </c>
      <c r="BA42">
        <v>55406</v>
      </c>
      <c r="BB42">
        <v>54145</v>
      </c>
      <c r="BC42">
        <v>52885</v>
      </c>
      <c r="BD42">
        <v>51624</v>
      </c>
      <c r="BE42">
        <v>50364</v>
      </c>
      <c r="BF42">
        <v>49102</v>
      </c>
      <c r="BG42">
        <v>47842</v>
      </c>
      <c r="BH42">
        <v>46581</v>
      </c>
      <c r="BI42">
        <v>45321</v>
      </c>
      <c r="BJ42">
        <v>44060</v>
      </c>
      <c r="BK42">
        <v>42800</v>
      </c>
      <c r="BL42">
        <v>41539</v>
      </c>
      <c r="BM42">
        <v>40279</v>
      </c>
      <c r="BN42">
        <v>39018</v>
      </c>
      <c r="BO42">
        <v>37757</v>
      </c>
      <c r="BP42" s="255"/>
      <c r="BQ42" s="255"/>
      <c r="BR42" s="255"/>
      <c r="BS42" s="255"/>
    </row>
    <row r="43" spans="1:288" x14ac:dyDescent="0.25">
      <c r="A43" s="255"/>
      <c r="B43" s="325"/>
      <c r="C43" s="292">
        <v>100</v>
      </c>
      <c r="D43" s="348"/>
      <c r="E43" s="349">
        <f t="shared" si="10"/>
        <v>0</v>
      </c>
      <c r="F43" s="255"/>
      <c r="G43" s="239" t="s">
        <v>394</v>
      </c>
      <c r="H43" s="320"/>
      <c r="I43" s="293" t="s">
        <v>95</v>
      </c>
      <c r="J43" s="314" t="s">
        <v>187</v>
      </c>
      <c r="K43" s="313">
        <f>IFERROR(H43 * INDEX($U$34:$Y$38, MATCH(I43, $U$34:$U$38, 0), MATCH(L43, $U$34:$Y$34, 0)),0)</f>
        <v>0</v>
      </c>
      <c r="L43" s="293" t="s">
        <v>142</v>
      </c>
      <c r="M43" s="239" t="s">
        <v>395</v>
      </c>
      <c r="N43" s="361" t="s">
        <v>487</v>
      </c>
      <c r="O43" s="360" t="s">
        <v>492</v>
      </c>
      <c r="P43" s="321">
        <v>13351.3</v>
      </c>
      <c r="Q43" s="295" cm="1">
        <f t="array" ref="Q43">IFERROR(INDEX(BC65:BC110,MATCH(P43,BB65:BB110,-1)) + (P43 - INDEX(BB65:BB110,MATCH(P43,BB65:BB110,-1))) * (INDEX(BC65:BC110,MATCH(P43,BB65:BB110,-1)+1) - INDEX(BC65:BC110,MATCH(P43,BB65:BB110,-1))) / (INDEX(BB65:BB110,MATCH(P43,BB65:BB110,-1)+1) - INDEX(BB65:BB110,MATCH(P43,BB65:BB110,-1))), 0)</f>
        <v>688</v>
      </c>
      <c r="R43" s="244" cm="1">
        <f t="array" ref="R43">IFERROR(INDEX(BD65:BD110,MATCH(P43,BB65:BB110,-1)) + (P43 - INDEX(BB65:BB110,MATCH(P43,BB65:BB110,-1))) * (INDEX(BD65:BD110,MATCH(P43,BB65:BB110,-1)+1) - INDEX(BD65:BD110,MATCH(P43,BB65:BB110,-1))) / (INDEX(BB65:BB110,MATCH(P43,BB65:BB110,-1)+1) - INDEX(BB65:BB110,MATCH(P43,BB65:BB110,-1))), 0)</f>
        <v>10.210000000000001</v>
      </c>
      <c r="S43" s="255"/>
      <c r="T43" s="255"/>
      <c r="U43" s="255"/>
      <c r="V43" s="255"/>
      <c r="W43" s="255"/>
      <c r="X43" s="255"/>
      <c r="Y43" s="255"/>
      <c r="Z43" s="255"/>
      <c r="AA43" s="255"/>
      <c r="AB43" s="255"/>
      <c r="AC43" s="255"/>
      <c r="AD43" s="255"/>
      <c r="AE43" s="255"/>
      <c r="AF43" s="255"/>
      <c r="AG43" s="255"/>
      <c r="AH43" s="255"/>
      <c r="AI43" s="255"/>
      <c r="AJ43" s="255"/>
      <c r="AK43" s="282">
        <v>11.3</v>
      </c>
      <c r="AL43">
        <v>74930</v>
      </c>
      <c r="AM43">
        <v>73657</v>
      </c>
      <c r="AN43">
        <v>72384</v>
      </c>
      <c r="AO43">
        <v>71111</v>
      </c>
      <c r="AP43">
        <v>69837</v>
      </c>
      <c r="AQ43">
        <v>68564</v>
      </c>
      <c r="AR43">
        <v>67290</v>
      </c>
      <c r="AS43">
        <v>66017</v>
      </c>
      <c r="AT43">
        <v>64743</v>
      </c>
      <c r="AU43">
        <v>63469</v>
      </c>
      <c r="AV43">
        <v>62195</v>
      </c>
      <c r="AW43">
        <v>60921</v>
      </c>
      <c r="AX43">
        <v>59648</v>
      </c>
      <c r="AY43">
        <v>58374</v>
      </c>
      <c r="AZ43">
        <v>57100</v>
      </c>
      <c r="BA43">
        <v>55833</v>
      </c>
      <c r="BB43">
        <v>54560</v>
      </c>
      <c r="BC43">
        <v>53287</v>
      </c>
      <c r="BD43">
        <v>52014</v>
      </c>
      <c r="BE43">
        <v>50741</v>
      </c>
      <c r="BF43">
        <v>49468</v>
      </c>
      <c r="BG43">
        <v>48195</v>
      </c>
      <c r="BH43">
        <v>46921</v>
      </c>
      <c r="BI43">
        <v>45648</v>
      </c>
      <c r="BJ43">
        <v>44375</v>
      </c>
      <c r="BK43">
        <v>43102</v>
      </c>
      <c r="BL43">
        <v>41829</v>
      </c>
      <c r="BM43">
        <v>40556</v>
      </c>
      <c r="BN43">
        <v>39283</v>
      </c>
      <c r="BO43">
        <v>38010</v>
      </c>
      <c r="BP43" s="255"/>
      <c r="BQ43" s="255"/>
      <c r="BR43" s="255"/>
      <c r="BS43" s="255"/>
    </row>
    <row r="44" spans="1:288" x14ac:dyDescent="0.25">
      <c r="A44" s="255"/>
      <c r="B44" s="325"/>
      <c r="C44" s="292">
        <v>100</v>
      </c>
      <c r="D44" s="348"/>
      <c r="E44" s="349">
        <f t="shared" si="10"/>
        <v>0</v>
      </c>
      <c r="F44" s="255"/>
      <c r="G44" s="255"/>
      <c r="H44" s="255"/>
      <c r="I44" s="255"/>
      <c r="J44" s="255"/>
      <c r="K44" s="255"/>
      <c r="L44" s="255"/>
      <c r="M44" s="255"/>
      <c r="N44" s="361" t="s">
        <v>488</v>
      </c>
      <c r="O44" s="360" t="s">
        <v>479</v>
      </c>
      <c r="P44" s="321">
        <v>10087</v>
      </c>
      <c r="Q44" s="295" cm="1">
        <f t="array" ref="Q44">IFERROR(INDEX(BG65:BG110,MATCH(P44,BF65:BF110,-1)) + (P44 - INDEX(BF65:BF110,MATCH(P44,BF65:BF110,-1))) * (INDEX(BG65:BG110,MATCH(P44,BF65:BF110,-1)+1) - INDEX(BG65:BG110,MATCH(P44,BF65:BF110,-1))) / (INDEX(BF65:BF110,MATCH(P44,BF65:BF110,-1)+1) - INDEX(BF65:BF110,MATCH(P44,BF65:BF110,-1))), 0)</f>
        <v>21266.140791954746</v>
      </c>
      <c r="R44" s="244" cm="1">
        <f t="array" ref="R44">IFERROR(INDEX(BH65:BH110,MATCH(P44,BF65:BF110,-1)) + (P44 - INDEX(BF65:BF110,MATCH(P44,BF65:BF110,-1))) * (INDEX(BH65:BH110,MATCH(P44,BF65:BF110,-1)+1) - INDEX(BH65:BH110,MATCH(P44,BF65:BF110,-1))) / (INDEX(BF65:BF110,MATCH(P44,BF65:BF110,-1)+1) - INDEX(BF65:BF110,MATCH(P44,BF65:BF110,-1))), 0)</f>
        <v>8.1181835323695797</v>
      </c>
      <c r="S44" s="255"/>
      <c r="T44" s="255"/>
      <c r="U44" s="255"/>
      <c r="V44" s="255"/>
      <c r="W44" s="255"/>
      <c r="X44" s="255"/>
      <c r="Y44" s="255"/>
      <c r="Z44" s="255"/>
      <c r="AA44" s="255"/>
      <c r="AB44" s="255"/>
      <c r="AC44" s="255"/>
      <c r="AD44" s="255"/>
      <c r="AE44" s="255"/>
      <c r="AF44" s="255"/>
      <c r="AG44" s="255"/>
      <c r="AH44" s="255"/>
      <c r="AI44" s="255"/>
      <c r="AJ44" s="255"/>
      <c r="AK44" s="282">
        <v>11.4</v>
      </c>
      <c r="AL44">
        <v>75569</v>
      </c>
      <c r="AM44">
        <v>74283</v>
      </c>
      <c r="AN44">
        <v>72997</v>
      </c>
      <c r="AO44">
        <v>71712</v>
      </c>
      <c r="AP44">
        <v>70425</v>
      </c>
      <c r="AQ44">
        <v>69139</v>
      </c>
      <c r="AR44">
        <v>67853</v>
      </c>
      <c r="AS44">
        <v>66567</v>
      </c>
      <c r="AT44">
        <v>65281</v>
      </c>
      <c r="AU44">
        <v>63995</v>
      </c>
      <c r="AV44">
        <v>62703</v>
      </c>
      <c r="AW44">
        <v>61422</v>
      </c>
      <c r="AX44">
        <v>60136</v>
      </c>
      <c r="AY44">
        <v>58850</v>
      </c>
      <c r="AZ44">
        <v>57564</v>
      </c>
      <c r="BA44">
        <v>56278</v>
      </c>
      <c r="BB44">
        <v>54992</v>
      </c>
      <c r="BC44">
        <v>53705</v>
      </c>
      <c r="BD44">
        <v>52419</v>
      </c>
      <c r="BE44">
        <v>51133</v>
      </c>
      <c r="BF44">
        <v>49846</v>
      </c>
      <c r="BG44">
        <v>48560</v>
      </c>
      <c r="BH44">
        <v>47273</v>
      </c>
      <c r="BI44">
        <v>45987</v>
      </c>
      <c r="BJ44">
        <v>44701</v>
      </c>
      <c r="BK44">
        <v>43414</v>
      </c>
      <c r="BL44">
        <v>42128</v>
      </c>
      <c r="BM44">
        <v>40842</v>
      </c>
      <c r="BN44">
        <v>39552</v>
      </c>
      <c r="BO44">
        <v>38265</v>
      </c>
      <c r="BP44" s="255"/>
      <c r="BQ44" s="255"/>
      <c r="BR44" s="255"/>
      <c r="BS44" s="255"/>
    </row>
    <row r="45" spans="1:288" x14ac:dyDescent="0.25">
      <c r="A45" s="255"/>
      <c r="B45" s="325"/>
      <c r="C45" s="292">
        <v>100</v>
      </c>
      <c r="D45" s="348"/>
      <c r="E45" s="349">
        <f t="shared" si="10"/>
        <v>0</v>
      </c>
      <c r="F45" s="255"/>
      <c r="G45" s="239" t="s">
        <v>394</v>
      </c>
      <c r="H45" s="320">
        <v>8914.2999999999993</v>
      </c>
      <c r="I45" s="293" t="s">
        <v>95</v>
      </c>
      <c r="J45" s="314" t="s">
        <v>187</v>
      </c>
      <c r="K45" s="313">
        <f>H45 * INDEX($AB$35:$AE$38, MATCH(I45, $AA$35:$AA$38, 0), MATCH(L45, $AB$34:$AE$34, 0))</f>
        <v>9937.2006810688472</v>
      </c>
      <c r="L45" s="293" t="s">
        <v>142</v>
      </c>
      <c r="M45" s="239" t="s">
        <v>396</v>
      </c>
      <c r="N45" s="361" t="s">
        <v>489</v>
      </c>
      <c r="O45" s="360" t="s">
        <v>492</v>
      </c>
      <c r="P45" s="321">
        <v>13265.4</v>
      </c>
      <c r="Q45" s="295" cm="1">
        <f t="array" ref="Q45">IFERROR(INDEX(BK65:BK110,MATCH(P45,BJ65:BJ110,-1)) + (P45 - INDEX(BJ65:BJ110,MATCH(P45,BJ65:BJ110,-1))) * (INDEX(BK65:BK110,MATCH(P45,BJ65:BJ110,-1)+1) - INDEX(BK65:BK110,MATCH(P45,BJ65:BJ110,-1))) / (INDEX(BJ65:BJ110,MATCH(P45,BJ65:BJ110,-1)+1) - INDEX(BJ65:BJ110,MATCH(P45,BJ65:BJ110,-1))), 0)</f>
        <v>688</v>
      </c>
      <c r="R45" s="244" cm="1">
        <f t="array" ref="R45">IFERROR(INDEX(BL65:BL110,MATCH(P45,BJ65:BJ110,-1)) + (P45 - INDEX(BJ65:BJ110,MATCH(P45,BJ65:BJ110,-1))) * (INDEX(BL65:BL110,MATCH(P45,BJ65:BJ110,-1)+1) - INDEX(BL65:BL110,MATCH(P45,BJ65:BJ110,-1))) / (INDEX(BJ65:BJ110,MATCH(P45,BJ65:BJ110,-1)+1) - INDEX(BJ65:BJ110,MATCH(P45,BJ65:BJ110,-1))), 0)</f>
        <v>10.52</v>
      </c>
      <c r="S45" s="255"/>
      <c r="T45" s="255"/>
      <c r="U45" s="255"/>
      <c r="V45" s="255"/>
      <c r="W45" s="255"/>
      <c r="X45" s="255"/>
      <c r="Y45" s="255"/>
      <c r="Z45" s="255"/>
      <c r="AA45" s="255"/>
      <c r="AB45" s="255"/>
      <c r="AC45" s="255"/>
      <c r="AD45" s="255"/>
      <c r="AE45" s="255"/>
      <c r="AF45" s="255"/>
      <c r="AG45" s="255"/>
      <c r="AH45" s="255"/>
      <c r="AI45" s="255"/>
      <c r="AJ45" s="255"/>
      <c r="AK45" s="282">
        <v>11.5</v>
      </c>
      <c r="AL45">
        <v>76740</v>
      </c>
      <c r="AM45">
        <v>75446</v>
      </c>
      <c r="AN45">
        <v>74151</v>
      </c>
      <c r="AO45">
        <v>72857</v>
      </c>
      <c r="AP45">
        <v>71563</v>
      </c>
      <c r="AQ45">
        <v>70294</v>
      </c>
      <c r="AR45">
        <v>68435</v>
      </c>
      <c r="AS45">
        <v>67135</v>
      </c>
      <c r="AT45">
        <v>65835</v>
      </c>
      <c r="AU45">
        <v>64541</v>
      </c>
      <c r="AV45">
        <v>63242</v>
      </c>
      <c r="AW45">
        <v>61943</v>
      </c>
      <c r="AX45">
        <v>60644</v>
      </c>
      <c r="AY45">
        <v>59345</v>
      </c>
      <c r="AZ45">
        <v>58046</v>
      </c>
      <c r="BA45">
        <v>56747</v>
      </c>
      <c r="BB45">
        <v>55448</v>
      </c>
      <c r="BC45">
        <v>54149</v>
      </c>
      <c r="BD45">
        <v>52849</v>
      </c>
      <c r="BE45">
        <v>51550</v>
      </c>
      <c r="BF45">
        <v>50250</v>
      </c>
      <c r="BG45">
        <v>48951</v>
      </c>
      <c r="BH45">
        <v>47652</v>
      </c>
      <c r="BI45">
        <v>46355</v>
      </c>
      <c r="BJ45">
        <v>45053</v>
      </c>
      <c r="BK45">
        <v>43754</v>
      </c>
      <c r="BL45">
        <v>42445</v>
      </c>
      <c r="BM45">
        <v>41155</v>
      </c>
      <c r="BN45">
        <v>39856</v>
      </c>
      <c r="BO45">
        <v>38556</v>
      </c>
      <c r="BP45" s="255"/>
      <c r="BQ45" s="255"/>
      <c r="BR45" s="255"/>
      <c r="BS45" s="255"/>
    </row>
    <row r="46" spans="1:288" x14ac:dyDescent="0.25">
      <c r="A46" s="255"/>
      <c r="B46" s="325"/>
      <c r="C46" s="292">
        <v>100</v>
      </c>
      <c r="D46" s="348"/>
      <c r="E46" s="349">
        <f t="shared" si="10"/>
        <v>0</v>
      </c>
      <c r="F46" s="255"/>
      <c r="G46" s="255"/>
      <c r="H46" s="255"/>
      <c r="I46" s="255"/>
      <c r="J46" s="255"/>
      <c r="K46" s="255"/>
      <c r="L46" s="255"/>
      <c r="M46" s="255"/>
      <c r="N46" s="255"/>
      <c r="O46" s="255"/>
      <c r="P46" s="255"/>
      <c r="Q46" s="255"/>
      <c r="R46" s="255"/>
      <c r="S46" s="255"/>
      <c r="T46" s="255"/>
      <c r="U46" s="255"/>
      <c r="V46" s="255"/>
      <c r="W46" s="255"/>
      <c r="X46" s="255"/>
      <c r="Y46" s="255"/>
      <c r="Z46" s="314" t="s">
        <v>403</v>
      </c>
      <c r="AA46" s="255"/>
      <c r="AB46" s="255"/>
      <c r="AC46" s="255"/>
      <c r="AD46" s="255"/>
      <c r="AE46" s="255"/>
      <c r="AF46" s="255"/>
      <c r="AG46" s="255"/>
      <c r="AH46" s="255"/>
      <c r="AI46" s="255"/>
      <c r="AJ46" s="255"/>
      <c r="AK46" s="282">
        <v>11.6</v>
      </c>
      <c r="AL46">
        <v>77352</v>
      </c>
      <c r="AM46">
        <v>76045</v>
      </c>
      <c r="AN46">
        <v>74738</v>
      </c>
      <c r="AO46">
        <v>73432</v>
      </c>
      <c r="AP46">
        <v>72125</v>
      </c>
      <c r="AQ46">
        <v>70818</v>
      </c>
      <c r="AR46">
        <v>69511</v>
      </c>
      <c r="AS46">
        <v>68204</v>
      </c>
      <c r="AT46">
        <v>66898</v>
      </c>
      <c r="AU46">
        <v>65591</v>
      </c>
      <c r="AV46">
        <v>63759</v>
      </c>
      <c r="AW46">
        <v>62447</v>
      </c>
      <c r="AX46">
        <v>61135</v>
      </c>
      <c r="AY46">
        <v>59823</v>
      </c>
      <c r="AZ46">
        <v>58511</v>
      </c>
      <c r="BA46">
        <v>57199</v>
      </c>
      <c r="BB46">
        <v>55887</v>
      </c>
      <c r="BC46">
        <v>54576</v>
      </c>
      <c r="BD46">
        <v>53263</v>
      </c>
      <c r="BE46">
        <v>51952</v>
      </c>
      <c r="BF46">
        <v>50639</v>
      </c>
      <c r="BG46">
        <v>49327</v>
      </c>
      <c r="BH46">
        <v>48015</v>
      </c>
      <c r="BI46">
        <v>46703</v>
      </c>
      <c r="BJ46">
        <v>45391</v>
      </c>
      <c r="BK46">
        <v>44080</v>
      </c>
      <c r="BL46">
        <v>42768</v>
      </c>
      <c r="BM46">
        <v>41456</v>
      </c>
      <c r="BN46">
        <v>40144</v>
      </c>
      <c r="BO46">
        <v>38832</v>
      </c>
      <c r="BP46" s="255"/>
      <c r="BQ46" s="255"/>
      <c r="BR46" s="255"/>
      <c r="BS46" s="255"/>
    </row>
    <row r="47" spans="1:288" x14ac:dyDescent="0.25">
      <c r="A47" s="255"/>
      <c r="B47" s="325"/>
      <c r="C47" s="292">
        <v>100</v>
      </c>
      <c r="D47" s="348"/>
      <c r="E47" s="349">
        <f t="shared" si="10"/>
        <v>0</v>
      </c>
      <c r="F47" s="255"/>
      <c r="G47" s="255"/>
      <c r="H47" s="255"/>
      <c r="I47" s="255"/>
      <c r="J47" s="255"/>
      <c r="K47" s="255"/>
      <c r="L47" s="255"/>
      <c r="M47" s="255"/>
      <c r="N47" s="255"/>
      <c r="O47" s="255"/>
      <c r="P47" s="255"/>
      <c r="Q47" s="255"/>
      <c r="R47" s="255"/>
      <c r="S47" s="280">
        <v>0.4</v>
      </c>
      <c r="T47" s="255"/>
      <c r="U47" s="255"/>
      <c r="V47" s="255"/>
      <c r="W47" s="255"/>
      <c r="X47" s="255"/>
      <c r="Y47" s="255"/>
      <c r="Z47" s="255"/>
      <c r="AA47" s="255"/>
      <c r="AB47" s="255"/>
      <c r="AC47" s="255"/>
      <c r="AD47" s="255"/>
      <c r="AE47" s="255"/>
      <c r="AF47" s="255"/>
      <c r="AG47" s="255"/>
      <c r="AH47" s="255"/>
      <c r="AI47" s="255"/>
      <c r="AJ47" s="255"/>
      <c r="AK47" s="282">
        <v>11.7</v>
      </c>
      <c r="AL47">
        <v>77975</v>
      </c>
      <c r="AM47">
        <v>76656</v>
      </c>
      <c r="AN47">
        <v>75336</v>
      </c>
      <c r="AO47">
        <v>74017</v>
      </c>
      <c r="AP47">
        <v>72698</v>
      </c>
      <c r="AQ47">
        <v>71378</v>
      </c>
      <c r="AR47">
        <v>70059</v>
      </c>
      <c r="AS47">
        <v>68740</v>
      </c>
      <c r="AT47">
        <v>67421</v>
      </c>
      <c r="AU47">
        <v>66101</v>
      </c>
      <c r="AV47">
        <v>64262</v>
      </c>
      <c r="AW47">
        <v>62936</v>
      </c>
      <c r="AX47">
        <v>61610</v>
      </c>
      <c r="AY47">
        <v>60284</v>
      </c>
      <c r="AZ47">
        <v>58958</v>
      </c>
      <c r="BA47">
        <v>57632</v>
      </c>
      <c r="BB47">
        <v>56306</v>
      </c>
      <c r="BC47">
        <v>54980</v>
      </c>
      <c r="BD47">
        <v>53654</v>
      </c>
      <c r="BE47">
        <v>52328</v>
      </c>
      <c r="BF47">
        <v>51001</v>
      </c>
      <c r="BG47">
        <v>49675</v>
      </c>
      <c r="BH47">
        <v>48349</v>
      </c>
      <c r="BI47">
        <v>47023</v>
      </c>
      <c r="BJ47">
        <v>45697</v>
      </c>
      <c r="BK47">
        <v>44371</v>
      </c>
      <c r="BL47">
        <v>43045</v>
      </c>
      <c r="BM47">
        <v>41719</v>
      </c>
      <c r="BN47">
        <v>40393</v>
      </c>
      <c r="BO47">
        <v>39067</v>
      </c>
      <c r="BP47" s="255"/>
      <c r="BQ47" s="255"/>
      <c r="BR47" s="255"/>
      <c r="BS47" s="255"/>
    </row>
    <row r="48" spans="1:288" x14ac:dyDescent="0.25">
      <c r="A48" s="255"/>
      <c r="B48" s="325">
        <v>1025</v>
      </c>
      <c r="C48" s="292">
        <v>100</v>
      </c>
      <c r="D48" s="348">
        <v>1</v>
      </c>
      <c r="E48" s="349">
        <f t="shared" si="10"/>
        <v>1025</v>
      </c>
      <c r="F48" s="255"/>
      <c r="G48" s="239" t="s">
        <v>474</v>
      </c>
      <c r="H48" s="320">
        <v>48.7</v>
      </c>
      <c r="I48" s="293" t="s">
        <v>493</v>
      </c>
      <c r="J48" s="239"/>
      <c r="K48" s="239" t="s">
        <v>11</v>
      </c>
      <c r="L48" s="320">
        <v>88.98</v>
      </c>
      <c r="M48" s="239" t="s">
        <v>461</v>
      </c>
      <c r="N48" s="293" t="s">
        <v>494</v>
      </c>
      <c r="O48" s="239" t="s">
        <v>473</v>
      </c>
      <c r="P48" s="364" t="s">
        <v>495</v>
      </c>
      <c r="Q48" s="320"/>
      <c r="R48" s="255"/>
      <c r="S48" t="s">
        <v>319</v>
      </c>
      <c r="T48" s="240">
        <v>-30</v>
      </c>
      <c r="U48" s="240">
        <v>-20</v>
      </c>
      <c r="V48" s="240">
        <v>-10</v>
      </c>
      <c r="W48" s="240">
        <v>0</v>
      </c>
      <c r="X48" s="240">
        <v>10</v>
      </c>
      <c r="Y48" s="240">
        <v>20</v>
      </c>
      <c r="Z48" s="240">
        <v>30</v>
      </c>
      <c r="AA48" s="240">
        <v>40</v>
      </c>
      <c r="AB48" s="240">
        <v>45</v>
      </c>
      <c r="AC48" s="240">
        <v>50</v>
      </c>
      <c r="AD48" s="240">
        <v>60</v>
      </c>
      <c r="AE48" s="240">
        <v>70</v>
      </c>
      <c r="AF48" s="240">
        <v>80</v>
      </c>
      <c r="AG48" s="240">
        <v>90</v>
      </c>
      <c r="AH48" t="s">
        <v>320</v>
      </c>
      <c r="AI48" s="255"/>
      <c r="AJ48" s="255"/>
      <c r="AK48" s="282">
        <v>11.8</v>
      </c>
      <c r="AL48">
        <v>78605</v>
      </c>
      <c r="AM48">
        <v>77273</v>
      </c>
      <c r="AN48">
        <v>75941</v>
      </c>
      <c r="AO48">
        <v>74610</v>
      </c>
      <c r="AP48">
        <v>73278</v>
      </c>
      <c r="AQ48">
        <v>71946</v>
      </c>
      <c r="AR48">
        <v>70614</v>
      </c>
      <c r="AS48">
        <v>69282</v>
      </c>
      <c r="AT48">
        <v>67950</v>
      </c>
      <c r="AU48">
        <v>66619</v>
      </c>
      <c r="AV48">
        <v>65286</v>
      </c>
      <c r="AW48">
        <v>63954</v>
      </c>
      <c r="AX48">
        <v>62622</v>
      </c>
      <c r="AY48">
        <v>61290</v>
      </c>
      <c r="AZ48">
        <v>59457</v>
      </c>
      <c r="BA48">
        <v>58118</v>
      </c>
      <c r="BB48">
        <v>56780</v>
      </c>
      <c r="BC48">
        <v>55441</v>
      </c>
      <c r="BD48">
        <v>54102</v>
      </c>
      <c r="BE48">
        <v>52763</v>
      </c>
      <c r="BF48">
        <v>51424</v>
      </c>
      <c r="BG48">
        <v>50086</v>
      </c>
      <c r="BH48">
        <v>48747</v>
      </c>
      <c r="BI48">
        <v>47408</v>
      </c>
      <c r="BJ48">
        <v>46069</v>
      </c>
      <c r="BK48">
        <v>44730</v>
      </c>
      <c r="BL48">
        <v>43391</v>
      </c>
      <c r="BM48">
        <v>42053</v>
      </c>
      <c r="BN48">
        <v>40714</v>
      </c>
      <c r="BO48">
        <v>39375</v>
      </c>
      <c r="BP48" s="255"/>
      <c r="BQ48" s="255"/>
      <c r="BR48" s="255"/>
      <c r="BS48" s="255"/>
    </row>
    <row r="49" spans="1:71" x14ac:dyDescent="0.25">
      <c r="A49" s="255"/>
      <c r="B49" s="325">
        <v>11044.1</v>
      </c>
      <c r="C49" s="292">
        <v>100</v>
      </c>
      <c r="D49" s="348">
        <v>1</v>
      </c>
      <c r="E49" s="349">
        <f t="shared" si="10"/>
        <v>11044.1</v>
      </c>
      <c r="F49" s="255"/>
      <c r="G49" s="255"/>
      <c r="H49" s="255">
        <f>H48/100</f>
        <v>0.48700000000000004</v>
      </c>
      <c r="I49" s="255"/>
      <c r="J49" s="255"/>
      <c r="K49" s="255"/>
      <c r="L49" s="255"/>
      <c r="M49" s="255"/>
      <c r="N49" s="255"/>
      <c r="O49" s="255"/>
      <c r="P49" s="255"/>
      <c r="Q49" s="255"/>
      <c r="R49" s="255"/>
      <c r="S49" s="282">
        <v>0</v>
      </c>
      <c r="T49">
        <v>0.67</v>
      </c>
      <c r="U49">
        <v>0.8</v>
      </c>
      <c r="V49">
        <v>0.92</v>
      </c>
      <c r="W49">
        <v>1</v>
      </c>
      <c r="X49">
        <v>1.05</v>
      </c>
      <c r="Y49">
        <v>1.08</v>
      </c>
      <c r="Z49">
        <v>1.07</v>
      </c>
      <c r="AA49">
        <v>1.02</v>
      </c>
      <c r="AB49">
        <v>0.99</v>
      </c>
      <c r="AC49">
        <v>0.95</v>
      </c>
      <c r="AD49">
        <v>0.85</v>
      </c>
      <c r="AE49">
        <v>0.72</v>
      </c>
      <c r="AF49">
        <v>0.56999999999999995</v>
      </c>
      <c r="AG49">
        <v>0.4</v>
      </c>
      <c r="AH49" s="284">
        <v>90</v>
      </c>
      <c r="AI49" s="255"/>
      <c r="AJ49" s="255"/>
      <c r="AK49" s="282">
        <v>11.9</v>
      </c>
      <c r="AL49">
        <v>79239</v>
      </c>
      <c r="AM49">
        <v>77895</v>
      </c>
      <c r="AN49">
        <v>76550</v>
      </c>
      <c r="AO49">
        <v>75206</v>
      </c>
      <c r="AP49">
        <v>73861</v>
      </c>
      <c r="AQ49">
        <v>72517</v>
      </c>
      <c r="AR49">
        <v>71173</v>
      </c>
      <c r="AS49">
        <v>69828</v>
      </c>
      <c r="AT49">
        <v>68484</v>
      </c>
      <c r="AU49">
        <v>67140</v>
      </c>
      <c r="AV49">
        <v>65795</v>
      </c>
      <c r="AW49">
        <v>64450</v>
      </c>
      <c r="AX49">
        <v>63106</v>
      </c>
      <c r="AY49">
        <v>61761</v>
      </c>
      <c r="AZ49">
        <v>60417</v>
      </c>
      <c r="BA49">
        <v>59073</v>
      </c>
      <c r="BB49">
        <v>57728</v>
      </c>
      <c r="BC49">
        <v>56384</v>
      </c>
      <c r="BD49">
        <v>55040</v>
      </c>
      <c r="BE49">
        <v>53223</v>
      </c>
      <c r="BF49">
        <v>51871</v>
      </c>
      <c r="BG49">
        <v>50520</v>
      </c>
      <c r="BH49">
        <v>49169</v>
      </c>
      <c r="BI49">
        <v>47820</v>
      </c>
      <c r="BJ49">
        <v>46473</v>
      </c>
      <c r="BK49">
        <v>45127</v>
      </c>
      <c r="BL49">
        <v>43781</v>
      </c>
      <c r="BM49">
        <v>42435</v>
      </c>
      <c r="BN49">
        <v>41090</v>
      </c>
      <c r="BO49">
        <v>39744</v>
      </c>
      <c r="BP49" s="255"/>
      <c r="BQ49" s="255"/>
      <c r="BR49" s="255"/>
      <c r="BS49" s="255"/>
    </row>
    <row r="50" spans="1:71" x14ac:dyDescent="0.25">
      <c r="A50" s="239" t="s">
        <v>476</v>
      </c>
      <c r="B50" s="272">
        <v>12431.5</v>
      </c>
      <c r="C50" s="292">
        <v>100</v>
      </c>
      <c r="D50" s="348">
        <v>1.1704857044436792</v>
      </c>
      <c r="E50" s="349">
        <f t="shared" si="10"/>
        <v>10620.804639308752</v>
      </c>
      <c r="F50" s="255"/>
      <c r="G50" s="239" t="s">
        <v>462</v>
      </c>
      <c r="H50" s="357">
        <v>12.472</v>
      </c>
      <c r="I50" s="255">
        <f>(H49*L48)/183.25</f>
        <v>0.23647072305593453</v>
      </c>
      <c r="J50" s="272"/>
      <c r="K50" s="239" t="s">
        <v>462</v>
      </c>
      <c r="L50" s="352">
        <f>H50</f>
        <v>12.472</v>
      </c>
      <c r="M50" s="255"/>
      <c r="N50" s="255" t="s">
        <v>384</v>
      </c>
      <c r="O50" s="255"/>
      <c r="P50" s="255"/>
      <c r="Q50" s="255"/>
      <c r="R50" s="255"/>
      <c r="S50" s="282">
        <v>10</v>
      </c>
      <c r="T50">
        <v>0.65</v>
      </c>
      <c r="U50">
        <v>0.79</v>
      </c>
      <c r="V50">
        <v>0.9</v>
      </c>
      <c r="W50">
        <v>0.98</v>
      </c>
      <c r="X50">
        <v>1.04</v>
      </c>
      <c r="Y50">
        <v>1.06</v>
      </c>
      <c r="Z50">
        <v>1.05</v>
      </c>
      <c r="AA50">
        <v>1.01</v>
      </c>
      <c r="AB50">
        <v>0.98</v>
      </c>
      <c r="AC50">
        <v>0.94</v>
      </c>
      <c r="AD50">
        <v>0.84</v>
      </c>
      <c r="AE50">
        <v>0.71</v>
      </c>
      <c r="AF50">
        <v>0.56000000000000005</v>
      </c>
      <c r="AG50">
        <v>0.4</v>
      </c>
      <c r="AH50" s="284">
        <v>80</v>
      </c>
      <c r="AI50" s="255"/>
      <c r="AJ50" s="255"/>
      <c r="AK50" s="282">
        <v>12</v>
      </c>
      <c r="AL50">
        <v>79873</v>
      </c>
      <c r="AM50">
        <v>78516</v>
      </c>
      <c r="AN50">
        <v>77160</v>
      </c>
      <c r="AO50">
        <v>75803</v>
      </c>
      <c r="AP50">
        <v>74446</v>
      </c>
      <c r="AQ50">
        <v>73089</v>
      </c>
      <c r="AR50">
        <v>71732</v>
      </c>
      <c r="AS50">
        <v>70375</v>
      </c>
      <c r="AT50">
        <v>69018</v>
      </c>
      <c r="AU50">
        <v>67661</v>
      </c>
      <c r="AV50">
        <v>66303</v>
      </c>
      <c r="AW50">
        <v>64946</v>
      </c>
      <c r="AX50">
        <v>63589</v>
      </c>
      <c r="AY50">
        <v>62233</v>
      </c>
      <c r="AZ50">
        <v>60876</v>
      </c>
      <c r="BA50">
        <v>59519</v>
      </c>
      <c r="BB50">
        <v>58162</v>
      </c>
      <c r="BC50">
        <v>56805</v>
      </c>
      <c r="BD50">
        <v>55050</v>
      </c>
      <c r="BE50">
        <v>53691</v>
      </c>
      <c r="BF50">
        <v>52331</v>
      </c>
      <c r="BG50">
        <v>50972</v>
      </c>
      <c r="BH50">
        <v>49613</v>
      </c>
      <c r="BI50">
        <v>48254</v>
      </c>
      <c r="BJ50">
        <v>46895</v>
      </c>
      <c r="BK50">
        <v>45537</v>
      </c>
      <c r="BL50">
        <v>44178</v>
      </c>
      <c r="BM50">
        <v>42820</v>
      </c>
      <c r="BN50">
        <v>41461</v>
      </c>
      <c r="BO50">
        <v>40103</v>
      </c>
      <c r="BP50" s="255"/>
      <c r="BQ50" s="255"/>
      <c r="BR50" s="255"/>
      <c r="BS50" s="255"/>
    </row>
    <row r="51" spans="1:71" x14ac:dyDescent="0.25">
      <c r="A51" s="239" t="s">
        <v>477</v>
      </c>
      <c r="B51" s="272">
        <v>13349.5</v>
      </c>
      <c r="C51" s="292">
        <v>100</v>
      </c>
      <c r="D51" s="348"/>
      <c r="E51" s="349">
        <f t="shared" si="10"/>
        <v>0</v>
      </c>
      <c r="F51" s="255"/>
      <c r="G51" s="239" t="s">
        <v>463</v>
      </c>
      <c r="H51" s="358">
        <f>ROUND(IF(I51="-",(-1)*(H49-I50),H49-I50),3)</f>
        <v>-0.251</v>
      </c>
      <c r="I51" s="265" t="str">
        <f>IF(I48="Aproante","+",IF(I48="Apopante","-"," "))</f>
        <v>-</v>
      </c>
      <c r="J51" s="272"/>
      <c r="K51" s="239" t="s">
        <v>464</v>
      </c>
      <c r="L51" s="358">
        <f>ROUND(IF(M51="-",(-1)*I50,I50),3)</f>
        <v>0.23599999999999999</v>
      </c>
      <c r="M51" s="265" t="str">
        <f>IF(I48="Apopante","+",IF(I48="Aproante","-"," "))</f>
        <v>+</v>
      </c>
      <c r="N51" s="255"/>
      <c r="O51" s="255"/>
      <c r="P51" s="255"/>
      <c r="Q51" s="255"/>
      <c r="R51" s="255"/>
      <c r="S51" s="282">
        <v>20</v>
      </c>
      <c r="T51">
        <v>0.61</v>
      </c>
      <c r="U51">
        <v>0.75</v>
      </c>
      <c r="V51">
        <v>0.86</v>
      </c>
      <c r="W51">
        <v>0.94</v>
      </c>
      <c r="X51">
        <v>0.99</v>
      </c>
      <c r="Y51">
        <v>1.02</v>
      </c>
      <c r="Z51">
        <v>1.01</v>
      </c>
      <c r="AA51">
        <v>0.98</v>
      </c>
      <c r="AB51">
        <v>0.95</v>
      </c>
      <c r="AC51">
        <v>0.91</v>
      </c>
      <c r="AD51">
        <v>0.82</v>
      </c>
      <c r="AE51">
        <v>0.7</v>
      </c>
      <c r="AF51">
        <v>0.56000000000000005</v>
      </c>
      <c r="AG51">
        <v>0.4</v>
      </c>
      <c r="AH51" s="284">
        <v>70</v>
      </c>
      <c r="AI51" s="255"/>
      <c r="AJ51" s="255"/>
      <c r="AK51" s="282">
        <v>12.1</v>
      </c>
      <c r="AL51">
        <v>80507</v>
      </c>
      <c r="AM51">
        <v>79138</v>
      </c>
      <c r="AN51">
        <v>77768</v>
      </c>
      <c r="AO51">
        <v>76399</v>
      </c>
      <c r="AP51">
        <v>75029</v>
      </c>
      <c r="AQ51">
        <v>73660</v>
      </c>
      <c r="AR51">
        <v>72004</v>
      </c>
      <c r="AS51">
        <v>70629</v>
      </c>
      <c r="AT51">
        <v>69254</v>
      </c>
      <c r="AU51">
        <v>67880</v>
      </c>
      <c r="AV51">
        <v>66504</v>
      </c>
      <c r="AW51">
        <v>65130</v>
      </c>
      <c r="AX51">
        <v>63755</v>
      </c>
      <c r="AY51">
        <v>62382</v>
      </c>
      <c r="AZ51">
        <v>61010</v>
      </c>
      <c r="BA51">
        <v>59637</v>
      </c>
      <c r="BB51">
        <v>58264</v>
      </c>
      <c r="BC51">
        <v>56892</v>
      </c>
      <c r="BD51">
        <v>55519</v>
      </c>
      <c r="BE51">
        <v>54147</v>
      </c>
      <c r="BF51">
        <v>52774</v>
      </c>
      <c r="BG51">
        <v>51401</v>
      </c>
      <c r="BH51">
        <v>50029</v>
      </c>
      <c r="BI51">
        <v>48656</v>
      </c>
      <c r="BJ51">
        <v>47284</v>
      </c>
      <c r="BK51">
        <v>45912</v>
      </c>
      <c r="BL51">
        <v>44539</v>
      </c>
      <c r="BM51">
        <v>43167</v>
      </c>
      <c r="BN51">
        <v>41795</v>
      </c>
      <c r="BO51">
        <v>40423</v>
      </c>
      <c r="BP51" s="255"/>
      <c r="BQ51" s="255"/>
      <c r="BR51" s="255"/>
      <c r="BS51" s="255"/>
    </row>
    <row r="52" spans="1:71" x14ac:dyDescent="0.25">
      <c r="A52" s="239" t="s">
        <v>478</v>
      </c>
      <c r="B52" s="272">
        <v>13351.3</v>
      </c>
      <c r="C52" s="292">
        <v>100</v>
      </c>
      <c r="D52" s="348">
        <v>1.1704857044436792</v>
      </c>
      <c r="E52" s="349">
        <f t="shared" si="10"/>
        <v>11406.632263266936</v>
      </c>
      <c r="F52" s="255"/>
      <c r="G52" s="255"/>
      <c r="H52" s="255"/>
      <c r="I52" s="255"/>
      <c r="J52" s="255"/>
      <c r="K52" s="255"/>
      <c r="L52" s="353"/>
      <c r="M52" s="255"/>
      <c r="N52" s="255"/>
      <c r="O52" s="255"/>
      <c r="P52" s="255"/>
      <c r="Q52" s="255"/>
      <c r="R52" s="255"/>
      <c r="S52" s="282">
        <v>30</v>
      </c>
      <c r="T52">
        <v>0.55000000000000004</v>
      </c>
      <c r="U52">
        <v>0.68</v>
      </c>
      <c r="V52">
        <v>0.78</v>
      </c>
      <c r="W52">
        <v>0.87</v>
      </c>
      <c r="X52">
        <v>0.92</v>
      </c>
      <c r="Y52">
        <v>0.95</v>
      </c>
      <c r="Z52">
        <v>0.95</v>
      </c>
      <c r="AA52">
        <v>0.92</v>
      </c>
      <c r="AB52">
        <v>0.9</v>
      </c>
      <c r="AC52">
        <v>0.86</v>
      </c>
      <c r="AD52">
        <v>0.78</v>
      </c>
      <c r="AE52">
        <v>0.67</v>
      </c>
      <c r="AF52">
        <v>0.54</v>
      </c>
      <c r="AG52">
        <v>0.4</v>
      </c>
      <c r="AH52" s="284">
        <v>60</v>
      </c>
      <c r="AI52" s="255"/>
      <c r="AJ52" s="255"/>
      <c r="AK52" s="282">
        <v>12.2</v>
      </c>
      <c r="AL52">
        <v>81140</v>
      </c>
      <c r="AM52">
        <v>79758</v>
      </c>
      <c r="AN52">
        <v>78376</v>
      </c>
      <c r="AO52">
        <v>76994</v>
      </c>
      <c r="AP52">
        <v>75612</v>
      </c>
      <c r="AQ52">
        <v>74011</v>
      </c>
      <c r="AR52">
        <v>72623</v>
      </c>
      <c r="AS52">
        <v>71235</v>
      </c>
      <c r="AT52">
        <v>69848</v>
      </c>
      <c r="AU52">
        <v>68460</v>
      </c>
      <c r="AV52">
        <v>67072</v>
      </c>
      <c r="AW52">
        <v>65885</v>
      </c>
      <c r="AX52">
        <v>64299</v>
      </c>
      <c r="AY52">
        <v>62914</v>
      </c>
      <c r="AZ52">
        <v>61528</v>
      </c>
      <c r="BA52">
        <v>60142</v>
      </c>
      <c r="BB52">
        <v>58756</v>
      </c>
      <c r="BC52">
        <v>57370</v>
      </c>
      <c r="BD52">
        <v>55994</v>
      </c>
      <c r="BE52">
        <v>54598</v>
      </c>
      <c r="BF52">
        <v>53211</v>
      </c>
      <c r="BG52">
        <v>51825</v>
      </c>
      <c r="BH52">
        <v>50439</v>
      </c>
      <c r="BI52">
        <v>49053</v>
      </c>
      <c r="BJ52">
        <v>47667</v>
      </c>
      <c r="BK52">
        <v>46281</v>
      </c>
      <c r="BL52">
        <v>44895</v>
      </c>
      <c r="BM52">
        <v>43509</v>
      </c>
      <c r="BN52">
        <v>42123</v>
      </c>
      <c r="BO52">
        <v>40737</v>
      </c>
      <c r="BP52" s="255"/>
      <c r="BQ52" s="255"/>
      <c r="BR52" s="255"/>
      <c r="BS52" s="255"/>
    </row>
    <row r="53" spans="1:71" x14ac:dyDescent="0.25">
      <c r="A53" s="239" t="s">
        <v>479</v>
      </c>
      <c r="B53" s="272">
        <v>13349.6</v>
      </c>
      <c r="C53" s="292">
        <v>100</v>
      </c>
      <c r="D53" s="348"/>
      <c r="E53" s="349">
        <f t="shared" si="10"/>
        <v>0</v>
      </c>
      <c r="F53" s="255"/>
      <c r="G53" s="239" t="s">
        <v>471</v>
      </c>
      <c r="H53" s="358">
        <f>H50+H51</f>
        <v>12.221</v>
      </c>
      <c r="I53" s="255"/>
      <c r="J53" s="272"/>
      <c r="K53" s="239" t="s">
        <v>472</v>
      </c>
      <c r="L53" s="358">
        <f>L50+L51</f>
        <v>12.708</v>
      </c>
      <c r="M53" s="255"/>
      <c r="N53" s="239" t="s">
        <v>484</v>
      </c>
      <c r="O53" s="237" t="s">
        <v>187</v>
      </c>
      <c r="P53" s="352">
        <f>H50</f>
        <v>12.472</v>
      </c>
      <c r="Q53" s="255"/>
      <c r="R53" s="255"/>
      <c r="S53" s="282">
        <v>40</v>
      </c>
      <c r="T53">
        <v>0.46</v>
      </c>
      <c r="U53">
        <v>0.57999999999999996</v>
      </c>
      <c r="V53">
        <v>0.68</v>
      </c>
      <c r="W53">
        <v>0.77</v>
      </c>
      <c r="X53">
        <v>0.82</v>
      </c>
      <c r="Y53">
        <v>0.86</v>
      </c>
      <c r="Z53">
        <v>0.86</v>
      </c>
      <c r="AA53">
        <v>0.84</v>
      </c>
      <c r="AB53">
        <v>0.82</v>
      </c>
      <c r="AC53">
        <v>0.8</v>
      </c>
      <c r="AD53">
        <v>0.73</v>
      </c>
      <c r="AE53">
        <v>0.64</v>
      </c>
      <c r="AF53">
        <v>0.53</v>
      </c>
      <c r="AG53">
        <v>0.4</v>
      </c>
      <c r="AH53" s="284">
        <v>50</v>
      </c>
      <c r="AI53" s="255"/>
      <c r="AJ53" s="255"/>
      <c r="AK53" s="282">
        <v>12.3</v>
      </c>
      <c r="AL53">
        <v>81911</v>
      </c>
      <c r="AM53">
        <v>80510</v>
      </c>
      <c r="AN53">
        <v>79108</v>
      </c>
      <c r="AO53">
        <v>77707</v>
      </c>
      <c r="AP53">
        <v>76306</v>
      </c>
      <c r="AQ53">
        <v>74904</v>
      </c>
      <c r="AR53">
        <v>73503</v>
      </c>
      <c r="AS53">
        <v>72101</v>
      </c>
      <c r="AT53">
        <v>70700</v>
      </c>
      <c r="AU53">
        <v>69288</v>
      </c>
      <c r="AV53">
        <v>67897</v>
      </c>
      <c r="AW53">
        <v>66496</v>
      </c>
      <c r="AX53">
        <v>65000</v>
      </c>
      <c r="AY53">
        <v>63703</v>
      </c>
      <c r="AZ53">
        <v>62046</v>
      </c>
      <c r="BA53">
        <v>60646</v>
      </c>
      <c r="BB53">
        <v>59247</v>
      </c>
      <c r="BC53">
        <v>57848</v>
      </c>
      <c r="BD53">
        <v>56448</v>
      </c>
      <c r="BE53">
        <v>55048</v>
      </c>
      <c r="BF53">
        <v>53648</v>
      </c>
      <c r="BG53">
        <v>52248</v>
      </c>
      <c r="BH53">
        <v>50849</v>
      </c>
      <c r="BI53">
        <v>49449</v>
      </c>
      <c r="BJ53">
        <v>48049</v>
      </c>
      <c r="BK53">
        <v>46646</v>
      </c>
      <c r="BL53">
        <v>45250</v>
      </c>
      <c r="BM53">
        <v>43850</v>
      </c>
      <c r="BN53">
        <v>42450</v>
      </c>
      <c r="BO53">
        <v>41050</v>
      </c>
      <c r="BP53" s="255"/>
      <c r="BQ53" s="255"/>
      <c r="BR53" s="255"/>
      <c r="BS53" s="255"/>
    </row>
    <row r="54" spans="1:71" x14ac:dyDescent="0.25">
      <c r="A54" s="239" t="s">
        <v>480</v>
      </c>
      <c r="B54" s="272">
        <v>13265.4</v>
      </c>
      <c r="C54" s="292">
        <v>100</v>
      </c>
      <c r="D54" s="348">
        <v>1.1704857044436792</v>
      </c>
      <c r="E54" s="349">
        <f t="shared" si="10"/>
        <v>11333.243925695717</v>
      </c>
      <c r="F54" s="255"/>
      <c r="G54" s="255"/>
      <c r="H54" s="255"/>
      <c r="I54" s="255"/>
      <c r="J54" s="255"/>
      <c r="K54" s="255"/>
      <c r="L54" s="255"/>
      <c r="M54" s="255"/>
      <c r="N54" s="255"/>
      <c r="O54" s="255"/>
      <c r="P54" s="255"/>
      <c r="Q54" s="255"/>
      <c r="R54" s="255"/>
      <c r="S54" s="282">
        <v>50</v>
      </c>
      <c r="T54">
        <v>0.36</v>
      </c>
      <c r="U54">
        <v>0.47</v>
      </c>
      <c r="V54">
        <v>0.56000000000000005</v>
      </c>
      <c r="W54">
        <v>0.64</v>
      </c>
      <c r="X54">
        <v>0.7</v>
      </c>
      <c r="Y54">
        <v>0.74</v>
      </c>
      <c r="Z54">
        <v>0.76</v>
      </c>
      <c r="AA54">
        <v>0.75</v>
      </c>
      <c r="AB54">
        <v>0.74</v>
      </c>
      <c r="AC54">
        <v>0.72</v>
      </c>
      <c r="AD54">
        <v>0.67</v>
      </c>
      <c r="AE54">
        <v>0.6</v>
      </c>
      <c r="AF54">
        <v>0.51</v>
      </c>
      <c r="AG54">
        <v>0.4</v>
      </c>
      <c r="AH54" s="284">
        <v>40</v>
      </c>
      <c r="AI54" s="255"/>
      <c r="AJ54" s="255"/>
      <c r="AK54" s="282">
        <v>12.4</v>
      </c>
      <c r="AL54">
        <v>82605</v>
      </c>
      <c r="AM54">
        <v>81201</v>
      </c>
      <c r="AN54">
        <v>79793</v>
      </c>
      <c r="AO54">
        <v>78384</v>
      </c>
      <c r="AP54">
        <v>76976</v>
      </c>
      <c r="AQ54">
        <v>75567</v>
      </c>
      <c r="AR54">
        <v>74159</v>
      </c>
      <c r="AS54">
        <v>72750</v>
      </c>
      <c r="AT54">
        <v>71341</v>
      </c>
      <c r="AU54">
        <v>69930</v>
      </c>
      <c r="AV54">
        <v>68514</v>
      </c>
      <c r="AW54">
        <v>67099</v>
      </c>
      <c r="AX54">
        <v>65684</v>
      </c>
      <c r="AY54">
        <v>64270</v>
      </c>
      <c r="AZ54">
        <v>62859</v>
      </c>
      <c r="BA54">
        <v>61449</v>
      </c>
      <c r="BB54">
        <v>60039</v>
      </c>
      <c r="BC54">
        <v>58629</v>
      </c>
      <c r="BD54">
        <v>57219</v>
      </c>
      <c r="BE54">
        <v>55808</v>
      </c>
      <c r="BF54">
        <v>54398</v>
      </c>
      <c r="BG54">
        <v>52987</v>
      </c>
      <c r="BH54">
        <v>51577</v>
      </c>
      <c r="BI54">
        <v>50166</v>
      </c>
      <c r="BJ54">
        <v>48757</v>
      </c>
      <c r="BK54">
        <v>47021</v>
      </c>
      <c r="BL54">
        <v>45607</v>
      </c>
      <c r="BM54">
        <v>44193</v>
      </c>
      <c r="BN54">
        <v>42779</v>
      </c>
      <c r="BO54">
        <v>41365</v>
      </c>
      <c r="BP54" s="255"/>
      <c r="BQ54" s="255"/>
      <c r="BR54" s="255"/>
      <c r="BS54" s="255"/>
    </row>
    <row r="55" spans="1:71" x14ac:dyDescent="0.25">
      <c r="A55" s="255"/>
      <c r="B55" s="255"/>
      <c r="C55" s="255"/>
      <c r="D55" s="255"/>
      <c r="E55" s="316"/>
      <c r="F55" s="255"/>
      <c r="G55" s="239" t="s">
        <v>475</v>
      </c>
      <c r="H55" s="272">
        <v>2.1999999999999999E-2</v>
      </c>
      <c r="I55" s="265" t="s">
        <v>465</v>
      </c>
      <c r="J55" s="272"/>
      <c r="K55" s="239" t="s">
        <v>475</v>
      </c>
      <c r="L55" s="272">
        <v>2.1999999999999999E-2</v>
      </c>
      <c r="M55" s="265" t="s">
        <v>465</v>
      </c>
      <c r="N55" s="239" t="s">
        <v>475</v>
      </c>
      <c r="O55" s="272"/>
      <c r="P55" s="272">
        <v>2.1999999999999999E-2</v>
      </c>
      <c r="Q55" s="265" t="s">
        <v>465</v>
      </c>
      <c r="R55" s="255"/>
      <c r="S55" s="282">
        <v>60</v>
      </c>
      <c r="T55">
        <v>0.23</v>
      </c>
      <c r="U55">
        <v>0.33</v>
      </c>
      <c r="V55">
        <v>0.42</v>
      </c>
      <c r="W55">
        <v>0.5</v>
      </c>
      <c r="X55">
        <v>0.56000000000000005</v>
      </c>
      <c r="Y55">
        <v>0.61</v>
      </c>
      <c r="Z55">
        <v>0.63</v>
      </c>
      <c r="AA55">
        <v>0.64</v>
      </c>
      <c r="AB55">
        <v>0.64</v>
      </c>
      <c r="AC55">
        <v>0.63</v>
      </c>
      <c r="AD55">
        <v>0.6</v>
      </c>
      <c r="AE55">
        <v>0.55000000000000004</v>
      </c>
      <c r="AF55">
        <v>0.48</v>
      </c>
      <c r="AG55">
        <v>0.4</v>
      </c>
      <c r="AH55" s="284">
        <v>30</v>
      </c>
      <c r="AI55" s="255"/>
      <c r="AJ55" s="255"/>
      <c r="AK55" s="282">
        <v>12.5</v>
      </c>
      <c r="AL55">
        <v>83239</v>
      </c>
      <c r="AM55">
        <v>81818</v>
      </c>
      <c r="AN55">
        <v>80397</v>
      </c>
      <c r="AO55">
        <v>78977</v>
      </c>
      <c r="AP55">
        <v>77556</v>
      </c>
      <c r="AQ55">
        <v>76135</v>
      </c>
      <c r="AR55">
        <v>74714</v>
      </c>
      <c r="AS55">
        <v>73293</v>
      </c>
      <c r="AT55">
        <v>71872</v>
      </c>
      <c r="AU55">
        <v>70451</v>
      </c>
      <c r="AV55">
        <v>69030</v>
      </c>
      <c r="AW55">
        <v>67608</v>
      </c>
      <c r="AX55">
        <v>66187</v>
      </c>
      <c r="AY55">
        <v>64765</v>
      </c>
      <c r="AZ55">
        <v>63344</v>
      </c>
      <c r="BA55">
        <v>61922</v>
      </c>
      <c r="BB55">
        <v>60501</v>
      </c>
      <c r="BC55">
        <v>59079</v>
      </c>
      <c r="BD55">
        <v>57657</v>
      </c>
      <c r="BE55">
        <v>56235</v>
      </c>
      <c r="BF55">
        <v>54812</v>
      </c>
      <c r="BG55">
        <v>53389</v>
      </c>
      <c r="BH55">
        <v>51967</v>
      </c>
      <c r="BI55">
        <v>50544</v>
      </c>
      <c r="BJ55">
        <v>49122</v>
      </c>
      <c r="BK55">
        <v>47701</v>
      </c>
      <c r="BL55">
        <v>46279</v>
      </c>
      <c r="BM55">
        <v>44857</v>
      </c>
      <c r="BN55">
        <v>43435</v>
      </c>
      <c r="BO55">
        <v>42013</v>
      </c>
      <c r="BP55" s="255"/>
      <c r="BQ55" s="255"/>
      <c r="BR55" s="255"/>
      <c r="BS55" s="255"/>
    </row>
    <row r="56" spans="1:71" x14ac:dyDescent="0.25">
      <c r="A56" s="255"/>
      <c r="B56" s="255"/>
      <c r="C56" s="255"/>
      <c r="D56" s="239" t="s">
        <v>147</v>
      </c>
      <c r="E56" s="350">
        <f>E41+E42+E43+E44+E45+E46+E47+E48+E49+E50+E51+E52+E53+E54</f>
        <v>45429.780828271403</v>
      </c>
      <c r="F56" s="255"/>
      <c r="G56" s="239" t="s">
        <v>469</v>
      </c>
      <c r="H56" s="358">
        <f>ROUND(IF(I51="-",(H49*0.85)/183.25,(-1)*((H49*0.85)/183.25)),3)</f>
        <v>2E-3</v>
      </c>
      <c r="I56" s="265" t="str">
        <f>IF(I48="Apopante","+",IF(I48="Aproante","-"," "))</f>
        <v>+</v>
      </c>
      <c r="J56" s="272"/>
      <c r="K56" s="239" t="s">
        <v>470</v>
      </c>
      <c r="L56" s="358">
        <f>ROUND(IF(M51="-",IF(N48="&gt;11m",(H49*0.2)/183.25,(H49*14.4)/183.25),(-1)*IF(N48="&gt;11m",(H49*0.2)/183.25,(H49*14.4)/183.25)),3)</f>
        <v>-1E-3</v>
      </c>
      <c r="M56" s="265" t="str">
        <f>IF(I48="Aproante","+",IF(I48="Apopante","-"," "))</f>
        <v>-</v>
      </c>
      <c r="N56" s="255"/>
      <c r="O56" s="255"/>
      <c r="P56" s="255"/>
      <c r="Q56" s="255"/>
      <c r="R56" s="255"/>
      <c r="S56" s="282">
        <v>70</v>
      </c>
      <c r="T56">
        <v>0.1</v>
      </c>
      <c r="U56">
        <v>0.18</v>
      </c>
      <c r="V56">
        <v>0.27</v>
      </c>
      <c r="W56">
        <v>0.34</v>
      </c>
      <c r="X56">
        <v>0.41</v>
      </c>
      <c r="Y56">
        <v>0.46</v>
      </c>
      <c r="Z56">
        <v>0.5</v>
      </c>
      <c r="AA56">
        <v>0.52</v>
      </c>
      <c r="AB56">
        <v>0.52</v>
      </c>
      <c r="AC56">
        <v>0.53</v>
      </c>
      <c r="AD56">
        <v>0.52</v>
      </c>
      <c r="AE56">
        <v>0.49</v>
      </c>
      <c r="AF56">
        <v>0.45</v>
      </c>
      <c r="AG56">
        <v>0.4</v>
      </c>
      <c r="AH56" s="284">
        <v>20</v>
      </c>
      <c r="AI56" s="255"/>
      <c r="AJ56" s="255"/>
      <c r="AK56" s="282">
        <v>12.6</v>
      </c>
      <c r="AL56">
        <v>83657</v>
      </c>
      <c r="AM56">
        <v>82224</v>
      </c>
      <c r="AN56">
        <v>80791</v>
      </c>
      <c r="AO56">
        <v>79566</v>
      </c>
      <c r="AP56">
        <v>78133</v>
      </c>
      <c r="AQ56">
        <v>76699</v>
      </c>
      <c r="AR56">
        <v>75266</v>
      </c>
      <c r="AS56">
        <v>73833</v>
      </c>
      <c r="AT56">
        <v>72400</v>
      </c>
      <c r="AU56">
        <v>70966</v>
      </c>
      <c r="AV56">
        <v>69532</v>
      </c>
      <c r="AW56">
        <v>68099</v>
      </c>
      <c r="AX56">
        <v>66665</v>
      </c>
      <c r="AY56">
        <v>65232</v>
      </c>
      <c r="AZ56">
        <v>63798</v>
      </c>
      <c r="BA56">
        <v>62364</v>
      </c>
      <c r="BB56">
        <v>60930</v>
      </c>
      <c r="BC56">
        <v>59496</v>
      </c>
      <c r="BD56">
        <v>58062</v>
      </c>
      <c r="BE56">
        <v>56627</v>
      </c>
      <c r="BF56">
        <v>55192</v>
      </c>
      <c r="BG56">
        <v>53758</v>
      </c>
      <c r="BH56">
        <v>52323</v>
      </c>
      <c r="BI56">
        <v>50665</v>
      </c>
      <c r="BJ56">
        <v>49227</v>
      </c>
      <c r="BK56">
        <v>47790</v>
      </c>
      <c r="BL56">
        <v>46353</v>
      </c>
      <c r="BM56">
        <v>44917</v>
      </c>
      <c r="BN56">
        <v>43480</v>
      </c>
      <c r="BO56">
        <v>42044</v>
      </c>
      <c r="BP56" s="255"/>
      <c r="BQ56" s="255"/>
      <c r="BR56" s="255"/>
      <c r="BS56" s="255"/>
    </row>
    <row r="57" spans="1:71" x14ac:dyDescent="0.25">
      <c r="A57" s="255"/>
      <c r="B57" s="255"/>
      <c r="C57" s="255"/>
      <c r="D57" s="255"/>
      <c r="E57" s="255"/>
      <c r="F57" s="255"/>
      <c r="G57" s="354" t="str">
        <f>IF(P48="Arrufo","-3/4 Arrufo",IF(P48="Quebranto","+3/4 Quebranto","-"))</f>
        <v>-</v>
      </c>
      <c r="H57" s="358">
        <f>ROUND(IF(P48="Arrufo",(-3/4*Q48)/100,IF(P48="Quebranto",(3/4*Q48)/100,0)),3)</f>
        <v>0</v>
      </c>
      <c r="I57" s="265"/>
      <c r="J57" s="355"/>
      <c r="K57" s="356" t="str">
        <f>IF(P48="Arrufo","-3/4 Arrufo",IF(P48="Quebranto","+3/4 Quebranto","-"))</f>
        <v>-</v>
      </c>
      <c r="L57" s="358">
        <f>ROUND(IF(P48="Arrufo",(-3/4*Q48)/100,IF(P48="Quebranto",(3/4*Q48)/100,0)),3)</f>
        <v>0</v>
      </c>
      <c r="M57" s="265"/>
      <c r="N57" s="355" t="str">
        <f>IF(P48="Arrufo","+1/4 Arrufo",IF(P48="Quebranto","-1/4 Quebranto","-"))</f>
        <v>-</v>
      </c>
      <c r="O57" s="356"/>
      <c r="P57" s="358">
        <f>ROUND(IF(P48="Arrufo",(1/4*Q48)/100,IF(P48="Quebranto",(-1/4*Q48)/100,0)),3)</f>
        <v>0</v>
      </c>
      <c r="Q57" s="265"/>
      <c r="R57" s="255"/>
      <c r="S57" s="282">
        <v>80</v>
      </c>
      <c r="T57">
        <v>-0.05</v>
      </c>
      <c r="U57">
        <v>0.03</v>
      </c>
      <c r="V57">
        <v>0.1</v>
      </c>
      <c r="W57">
        <v>0.17</v>
      </c>
      <c r="X57">
        <v>0.24</v>
      </c>
      <c r="Y57">
        <v>0.3</v>
      </c>
      <c r="Z57">
        <v>0.35</v>
      </c>
      <c r="AA57">
        <v>0.39</v>
      </c>
      <c r="AB57">
        <v>0.41</v>
      </c>
      <c r="AC57">
        <v>0.42</v>
      </c>
      <c r="AD57">
        <v>0.43</v>
      </c>
      <c r="AE57">
        <v>0.44</v>
      </c>
      <c r="AF57">
        <v>0.42</v>
      </c>
      <c r="AG57">
        <v>0.4</v>
      </c>
      <c r="AH57" s="284">
        <v>10</v>
      </c>
      <c r="AI57" s="255"/>
      <c r="AJ57" s="255"/>
      <c r="AK57" s="282">
        <v>12.7</v>
      </c>
      <c r="AL57">
        <v>84280</v>
      </c>
      <c r="AM57">
        <v>82835</v>
      </c>
      <c r="AN57">
        <v>81390</v>
      </c>
      <c r="AO57">
        <v>79944</v>
      </c>
      <c r="AP57">
        <v>78499</v>
      </c>
      <c r="AQ57">
        <v>77054</v>
      </c>
      <c r="AR57">
        <v>75609</v>
      </c>
      <c r="AS57">
        <v>74368</v>
      </c>
      <c r="AT57">
        <v>72922</v>
      </c>
      <c r="AU57">
        <v>71477</v>
      </c>
      <c r="AV57">
        <v>70030</v>
      </c>
      <c r="AW57">
        <v>68585</v>
      </c>
      <c r="AX57">
        <v>67139</v>
      </c>
      <c r="AY57">
        <v>65693</v>
      </c>
      <c r="AZ57">
        <v>64247</v>
      </c>
      <c r="BA57">
        <v>62801</v>
      </c>
      <c r="BB57">
        <v>61355</v>
      </c>
      <c r="BC57">
        <v>59909</v>
      </c>
      <c r="BD57">
        <v>58462</v>
      </c>
      <c r="BE57">
        <v>57016</v>
      </c>
      <c r="BF57">
        <v>55405</v>
      </c>
      <c r="BG57">
        <v>53953</v>
      </c>
      <c r="BH57">
        <v>52502</v>
      </c>
      <c r="BI57">
        <v>51051</v>
      </c>
      <c r="BJ57">
        <v>49601</v>
      </c>
      <c r="BK57">
        <v>48152</v>
      </c>
      <c r="BL57">
        <v>46702</v>
      </c>
      <c r="BM57">
        <v>45253</v>
      </c>
      <c r="BN57">
        <v>43803</v>
      </c>
      <c r="BO57">
        <v>42354</v>
      </c>
      <c r="BP57" s="255"/>
      <c r="BQ57" s="255"/>
      <c r="BR57" s="255"/>
      <c r="BS57" s="255"/>
    </row>
    <row r="58" spans="1:71" x14ac:dyDescent="0.25">
      <c r="A58" s="255"/>
      <c r="B58" s="255"/>
      <c r="C58" s="255"/>
      <c r="D58" s="255"/>
      <c r="E58" s="255"/>
      <c r="F58" s="255"/>
      <c r="G58" s="255"/>
      <c r="H58" s="255"/>
      <c r="I58" s="255"/>
      <c r="J58" s="255"/>
      <c r="K58" s="255"/>
      <c r="L58" s="255"/>
      <c r="M58" s="255"/>
      <c r="N58" s="255"/>
      <c r="O58" s="255"/>
      <c r="P58" s="255"/>
      <c r="Q58" s="255"/>
      <c r="R58" s="255"/>
      <c r="S58" s="282">
        <v>90</v>
      </c>
      <c r="T58">
        <v>-0.2</v>
      </c>
      <c r="U58">
        <v>-0.14000000000000001</v>
      </c>
      <c r="V58">
        <v>-7.0000000000000007E-2</v>
      </c>
      <c r="W58">
        <v>0</v>
      </c>
      <c r="X58">
        <v>7.0000000000000007E-2</v>
      </c>
      <c r="Y58">
        <v>0.14000000000000001</v>
      </c>
      <c r="Z58">
        <v>0.2</v>
      </c>
      <c r="AA58">
        <v>0.26</v>
      </c>
      <c r="AB58">
        <v>0.28000000000000003</v>
      </c>
      <c r="AC58">
        <v>0.31</v>
      </c>
      <c r="AD58">
        <v>0.35</v>
      </c>
      <c r="AE58">
        <v>0.38</v>
      </c>
      <c r="AF58">
        <v>0.39</v>
      </c>
      <c r="AG58">
        <v>0.4</v>
      </c>
      <c r="AH58" s="284">
        <v>0</v>
      </c>
      <c r="AI58" s="255"/>
      <c r="AJ58" s="255"/>
      <c r="AK58" s="282">
        <v>12.8</v>
      </c>
      <c r="AL58">
        <v>84901</v>
      </c>
      <c r="AM58">
        <v>83443</v>
      </c>
      <c r="AN58">
        <v>81985</v>
      </c>
      <c r="AO58">
        <v>80527</v>
      </c>
      <c r="AP58">
        <v>79069</v>
      </c>
      <c r="AQ58">
        <v>77612</v>
      </c>
      <c r="AR58">
        <v>76154</v>
      </c>
      <c r="AS58">
        <v>74696</v>
      </c>
      <c r="AT58">
        <v>73238</v>
      </c>
      <c r="AU58">
        <v>71780</v>
      </c>
      <c r="AV58">
        <v>70322</v>
      </c>
      <c r="AW58">
        <v>68864</v>
      </c>
      <c r="AX58">
        <v>67607</v>
      </c>
      <c r="AY58">
        <v>66149</v>
      </c>
      <c r="AZ58">
        <v>64691</v>
      </c>
      <c r="BA58">
        <v>63233</v>
      </c>
      <c r="BB58">
        <v>61775</v>
      </c>
      <c r="BC58">
        <v>60316</v>
      </c>
      <c r="BD58">
        <v>58858</v>
      </c>
      <c r="BE58">
        <v>57399</v>
      </c>
      <c r="BF58">
        <v>55831</v>
      </c>
      <c r="BG58">
        <v>54367</v>
      </c>
      <c r="BH58">
        <v>52904</v>
      </c>
      <c r="BI58">
        <v>51441</v>
      </c>
      <c r="BJ58">
        <v>49978</v>
      </c>
      <c r="BK58">
        <v>48516</v>
      </c>
      <c r="BL58">
        <v>47053</v>
      </c>
      <c r="BM58">
        <v>45591</v>
      </c>
      <c r="BN58">
        <v>44128</v>
      </c>
      <c r="BO58">
        <v>42666</v>
      </c>
      <c r="BP58" s="255"/>
      <c r="BQ58" s="255"/>
      <c r="BR58" s="255"/>
      <c r="BS58" s="255"/>
    </row>
    <row r="59" spans="1:71" x14ac:dyDescent="0.25">
      <c r="A59" s="255"/>
      <c r="B59" s="255"/>
      <c r="C59" s="255"/>
      <c r="D59" s="255"/>
      <c r="E59" s="255"/>
      <c r="F59" s="255"/>
      <c r="G59" s="239" t="s">
        <v>466</v>
      </c>
      <c r="H59" s="358">
        <f>H53+H55+H56+H57</f>
        <v>12.245000000000001</v>
      </c>
      <c r="I59" s="255"/>
      <c r="J59" s="272"/>
      <c r="K59" s="239" t="s">
        <v>467</v>
      </c>
      <c r="L59" s="358">
        <f>L53+L55+L56+L57</f>
        <v>12.729000000000001</v>
      </c>
      <c r="M59" s="255"/>
      <c r="N59" s="239" t="s">
        <v>468</v>
      </c>
      <c r="O59" s="272"/>
      <c r="P59" s="358">
        <f>P53+P55+P57</f>
        <v>12.494</v>
      </c>
      <c r="Q59" s="255"/>
      <c r="R59" s="255"/>
      <c r="S59" s="255"/>
      <c r="T59" s="255"/>
      <c r="U59" s="255"/>
      <c r="V59" s="255"/>
      <c r="W59" s="255"/>
      <c r="X59" s="255"/>
      <c r="Y59" s="255"/>
      <c r="Z59" s="255"/>
      <c r="AA59" s="255"/>
      <c r="AB59" s="255"/>
      <c r="AC59" s="255"/>
      <c r="AD59" s="255"/>
      <c r="AE59" s="255"/>
      <c r="AF59" s="255"/>
      <c r="AG59" s="255"/>
      <c r="AH59" s="255"/>
      <c r="AI59" s="255"/>
      <c r="AJ59" s="255"/>
      <c r="AK59" s="282">
        <v>12.9</v>
      </c>
      <c r="AL59">
        <v>85518</v>
      </c>
      <c r="AM59">
        <v>84047</v>
      </c>
      <c r="AN59">
        <v>82577</v>
      </c>
      <c r="AO59">
        <v>81106</v>
      </c>
      <c r="AP59">
        <v>79636</v>
      </c>
      <c r="AQ59">
        <v>78165</v>
      </c>
      <c r="AR59">
        <v>76694</v>
      </c>
      <c r="AS59">
        <v>75224</v>
      </c>
      <c r="AT59">
        <v>73753</v>
      </c>
      <c r="AU59">
        <v>72283</v>
      </c>
      <c r="AV59">
        <v>70812</v>
      </c>
      <c r="AW59">
        <v>69341</v>
      </c>
      <c r="AX59">
        <v>67871</v>
      </c>
      <c r="AY59">
        <v>66400</v>
      </c>
      <c r="AZ59">
        <v>64930</v>
      </c>
      <c r="BA59">
        <v>63459</v>
      </c>
      <c r="BB59">
        <v>61989</v>
      </c>
      <c r="BC59">
        <v>60715</v>
      </c>
      <c r="BD59">
        <v>59245</v>
      </c>
      <c r="BE59">
        <v>57774</v>
      </c>
      <c r="BF59">
        <v>56303</v>
      </c>
      <c r="BG59">
        <v>54832</v>
      </c>
      <c r="BH59">
        <v>53305</v>
      </c>
      <c r="BI59">
        <v>51829</v>
      </c>
      <c r="BJ59">
        <v>50353</v>
      </c>
      <c r="BK59">
        <v>48877</v>
      </c>
      <c r="BL59">
        <v>47401</v>
      </c>
      <c r="BM59">
        <v>45925</v>
      </c>
      <c r="BN59">
        <v>44449</v>
      </c>
      <c r="BO59">
        <v>42974</v>
      </c>
      <c r="BP59" s="255"/>
      <c r="BQ59" s="255"/>
      <c r="BR59" s="255"/>
      <c r="BS59" s="255"/>
    </row>
    <row r="60" spans="1:71" x14ac:dyDescent="0.25">
      <c r="A60" s="255"/>
      <c r="B60" s="340" t="s">
        <v>148</v>
      </c>
      <c r="C60" s="337"/>
      <c r="D60" s="255"/>
      <c r="E60" s="279" t="s">
        <v>244</v>
      </c>
      <c r="F60" s="255"/>
      <c r="G60" s="255"/>
      <c r="H60" s="255"/>
      <c r="I60" s="255"/>
      <c r="J60" s="255"/>
      <c r="K60" s="255"/>
      <c r="L60" s="255"/>
      <c r="M60" s="255"/>
      <c r="N60" s="255"/>
      <c r="O60" s="255"/>
      <c r="P60" s="255"/>
      <c r="Q60" s="255"/>
      <c r="R60" s="255"/>
      <c r="S60" s="280">
        <v>0.3</v>
      </c>
      <c r="T60" s="255"/>
      <c r="U60" s="255"/>
      <c r="V60" s="255"/>
      <c r="W60" s="255"/>
      <c r="X60" s="255"/>
      <c r="Y60" s="255"/>
      <c r="Z60" s="255"/>
      <c r="AA60" s="255"/>
      <c r="AB60" s="255"/>
      <c r="AC60" s="255"/>
      <c r="AD60" s="255"/>
      <c r="AE60" s="255"/>
      <c r="AF60" s="255"/>
      <c r="AG60" s="255"/>
      <c r="AH60" s="255"/>
      <c r="AI60" s="255"/>
      <c r="AJ60" s="255"/>
      <c r="AK60" s="282">
        <v>13</v>
      </c>
      <c r="AL60">
        <v>86131</v>
      </c>
      <c r="AM60">
        <v>84643</v>
      </c>
      <c r="AN60">
        <v>83165</v>
      </c>
      <c r="AO60">
        <v>81682</v>
      </c>
      <c r="AP60">
        <v>80198</v>
      </c>
      <c r="AQ60">
        <v>78715</v>
      </c>
      <c r="AR60">
        <v>77232</v>
      </c>
      <c r="AS60">
        <v>75749</v>
      </c>
      <c r="AT60">
        <v>74266</v>
      </c>
      <c r="AU60">
        <v>72782</v>
      </c>
      <c r="AV60">
        <v>71299</v>
      </c>
      <c r="AW60">
        <v>69816</v>
      </c>
      <c r="AX60">
        <v>68332</v>
      </c>
      <c r="AY60">
        <v>66849</v>
      </c>
      <c r="AZ60">
        <v>65366</v>
      </c>
      <c r="BA60">
        <v>63883</v>
      </c>
      <c r="BB60">
        <v>62400</v>
      </c>
      <c r="BC60">
        <v>60916</v>
      </c>
      <c r="BD60">
        <v>59433</v>
      </c>
      <c r="BE60">
        <v>57950</v>
      </c>
      <c r="BF60">
        <v>56460</v>
      </c>
      <c r="BG60">
        <v>54983</v>
      </c>
      <c r="BH60">
        <v>53500</v>
      </c>
      <c r="BI60">
        <v>52208</v>
      </c>
      <c r="BJ60">
        <v>50725</v>
      </c>
      <c r="BK60">
        <v>49242</v>
      </c>
      <c r="BL60">
        <v>47797</v>
      </c>
      <c r="BM60">
        <v>46304</v>
      </c>
      <c r="BN60">
        <v>44812</v>
      </c>
      <c r="BO60">
        <v>43321</v>
      </c>
      <c r="BP60" s="255"/>
      <c r="BQ60" s="255"/>
      <c r="BR60" s="255"/>
      <c r="BS60" s="255"/>
    </row>
    <row r="61" spans="1:71" x14ac:dyDescent="0.25">
      <c r="A61" s="255"/>
      <c r="B61" s="255"/>
      <c r="C61" s="255"/>
      <c r="D61" s="255"/>
      <c r="E61" s="255"/>
      <c r="F61" s="255"/>
      <c r="G61" s="255"/>
      <c r="H61" s="255"/>
      <c r="I61" s="255"/>
      <c r="J61" s="255"/>
      <c r="K61" s="255"/>
      <c r="L61" s="255"/>
      <c r="M61" s="255"/>
      <c r="N61" s="255"/>
      <c r="O61" s="255"/>
      <c r="P61" s="255"/>
      <c r="Q61" s="255"/>
      <c r="R61" s="255"/>
      <c r="S61" t="s">
        <v>319</v>
      </c>
      <c r="T61" s="240">
        <v>-30</v>
      </c>
      <c r="U61" s="240">
        <v>-20</v>
      </c>
      <c r="V61" s="240">
        <v>-10</v>
      </c>
      <c r="W61" s="240">
        <v>0</v>
      </c>
      <c r="X61" s="240">
        <v>10</v>
      </c>
      <c r="Y61" s="240">
        <v>20</v>
      </c>
      <c r="Z61" s="240">
        <v>30</v>
      </c>
      <c r="AA61" s="240">
        <v>40</v>
      </c>
      <c r="AB61" s="240">
        <v>45</v>
      </c>
      <c r="AC61" s="240">
        <v>50</v>
      </c>
      <c r="AD61" s="240">
        <v>60</v>
      </c>
      <c r="AE61" s="240">
        <v>70</v>
      </c>
      <c r="AF61" s="240">
        <v>80</v>
      </c>
      <c r="AG61" s="240">
        <v>90</v>
      </c>
      <c r="AH61" t="s">
        <v>320</v>
      </c>
      <c r="AI61" s="255"/>
      <c r="AJ61" s="255"/>
      <c r="AK61" s="255"/>
      <c r="AL61" s="255"/>
      <c r="AM61" s="255"/>
      <c r="AN61" s="255"/>
      <c r="AO61" s="255"/>
      <c r="AP61" s="255"/>
      <c r="AQ61" s="255"/>
      <c r="AR61" s="255"/>
      <c r="AS61" s="255"/>
      <c r="AT61" s="255"/>
      <c r="AU61" s="255"/>
      <c r="AV61" s="255"/>
      <c r="AW61" s="255"/>
      <c r="AX61" s="255"/>
      <c r="AY61" s="255"/>
      <c r="AZ61" s="255"/>
      <c r="BA61" s="255"/>
      <c r="BB61" s="255"/>
      <c r="BC61" s="255"/>
      <c r="BD61" s="255"/>
      <c r="BE61" s="255"/>
      <c r="BF61" s="255"/>
      <c r="BG61" s="255"/>
      <c r="BH61" s="255"/>
      <c r="BI61" s="255"/>
      <c r="BJ61" s="255"/>
      <c r="BK61" s="255"/>
      <c r="BL61" s="255"/>
      <c r="BM61" s="255"/>
      <c r="BN61" s="255"/>
      <c r="BO61" s="255"/>
      <c r="BP61" s="255"/>
      <c r="BQ61" s="255"/>
      <c r="BR61" s="255"/>
      <c r="BS61" s="255"/>
    </row>
    <row r="62" spans="1:71" x14ac:dyDescent="0.25">
      <c r="A62" s="255"/>
      <c r="B62" s="240" t="s">
        <v>149</v>
      </c>
      <c r="C62" s="255"/>
      <c r="D62" s="240" t="s">
        <v>156</v>
      </c>
      <c r="E62" s="255"/>
      <c r="F62" s="240" t="s">
        <v>164</v>
      </c>
      <c r="G62" s="240"/>
      <c r="H62" s="255"/>
      <c r="I62" s="255"/>
      <c r="J62" s="255"/>
      <c r="K62" s="255"/>
      <c r="L62" s="255"/>
      <c r="M62" s="255"/>
      <c r="N62" s="255"/>
      <c r="O62" s="255"/>
      <c r="P62" s="255"/>
      <c r="Q62" s="255"/>
      <c r="R62" s="255"/>
      <c r="S62" s="282">
        <v>0</v>
      </c>
      <c r="T62">
        <v>0.72</v>
      </c>
      <c r="U62">
        <v>0.84</v>
      </c>
      <c r="V62">
        <v>0.93</v>
      </c>
      <c r="W62">
        <v>1</v>
      </c>
      <c r="X62">
        <v>1.04</v>
      </c>
      <c r="Y62">
        <v>1.04</v>
      </c>
      <c r="Z62">
        <v>1.02</v>
      </c>
      <c r="AA62">
        <v>0.96</v>
      </c>
      <c r="AB62">
        <v>0.92</v>
      </c>
      <c r="AC62">
        <v>0.87</v>
      </c>
      <c r="AD62">
        <v>0.76</v>
      </c>
      <c r="AE62">
        <v>0.62</v>
      </c>
      <c r="AF62">
        <v>0.47</v>
      </c>
      <c r="AG62">
        <v>0.3</v>
      </c>
      <c r="AH62" s="284">
        <v>90</v>
      </c>
      <c r="AI62" s="255"/>
      <c r="AJ62" s="255"/>
      <c r="AK62" s="255"/>
      <c r="AL62" s="255"/>
      <c r="AM62" s="255"/>
      <c r="AN62" s="255"/>
      <c r="AO62" s="255"/>
      <c r="AP62" s="255"/>
      <c r="AQ62" s="255"/>
      <c r="AR62" s="255"/>
      <c r="AS62" s="255"/>
      <c r="AT62" s="255"/>
      <c r="AU62" s="255"/>
      <c r="AV62" s="255"/>
      <c r="AW62" s="255"/>
      <c r="AX62" s="255"/>
      <c r="AY62" s="255"/>
      <c r="AZ62" s="255"/>
      <c r="BA62" s="255"/>
      <c r="BB62" s="255"/>
      <c r="BC62" s="255"/>
      <c r="BD62" s="255"/>
      <c r="BE62" s="255"/>
      <c r="BF62" s="255"/>
      <c r="BG62" s="255"/>
      <c r="BH62" s="255"/>
      <c r="BI62" s="255"/>
      <c r="BJ62" s="255"/>
      <c r="BK62" s="255"/>
      <c r="BL62" s="255"/>
      <c r="BM62" s="255"/>
      <c r="BN62" s="255"/>
      <c r="BO62" s="255"/>
      <c r="BP62" s="255"/>
      <c r="BQ62" s="255"/>
      <c r="BR62" s="255"/>
      <c r="BS62" s="255"/>
    </row>
    <row r="63" spans="1:71" x14ac:dyDescent="0.25">
      <c r="A63" s="255"/>
      <c r="B63" s="255"/>
      <c r="C63" s="255"/>
      <c r="D63" s="255"/>
      <c r="E63" s="255"/>
      <c r="F63" s="255"/>
      <c r="G63" s="240" t="s">
        <v>183</v>
      </c>
      <c r="H63" s="240" t="s">
        <v>184</v>
      </c>
      <c r="I63" s="240" t="s">
        <v>185</v>
      </c>
      <c r="J63" s="240"/>
      <c r="K63" s="239" t="s">
        <v>239</v>
      </c>
      <c r="L63" s="255"/>
      <c r="M63" s="255"/>
      <c r="N63" s="255"/>
      <c r="O63" s="255"/>
      <c r="P63" s="255"/>
      <c r="Q63" s="255"/>
      <c r="R63" s="255"/>
      <c r="S63" s="282">
        <v>10</v>
      </c>
      <c r="T63">
        <v>0.7</v>
      </c>
      <c r="U63">
        <v>0.82</v>
      </c>
      <c r="V63">
        <v>0.92</v>
      </c>
      <c r="W63">
        <v>0.98</v>
      </c>
      <c r="X63">
        <v>1.02</v>
      </c>
      <c r="Y63">
        <v>1.03</v>
      </c>
      <c r="Z63">
        <v>1</v>
      </c>
      <c r="AA63">
        <v>0.95</v>
      </c>
      <c r="AB63">
        <v>0.91</v>
      </c>
      <c r="AC63">
        <v>0.86</v>
      </c>
      <c r="AD63">
        <v>0.75</v>
      </c>
      <c r="AE63">
        <v>0.62</v>
      </c>
      <c r="AF63">
        <v>0.47</v>
      </c>
      <c r="AG63">
        <v>0.3</v>
      </c>
      <c r="AH63" s="284">
        <v>80</v>
      </c>
      <c r="AI63" s="255"/>
      <c r="AJ63" s="255"/>
      <c r="AK63" s="239" t="s">
        <v>391</v>
      </c>
      <c r="AL63" s="239" t="s">
        <v>392</v>
      </c>
      <c r="AM63" s="255"/>
      <c r="AN63" s="255"/>
      <c r="AO63" s="255"/>
      <c r="AP63" s="239" t="s">
        <v>391</v>
      </c>
      <c r="AQ63" s="239" t="s">
        <v>449</v>
      </c>
      <c r="AR63" s="255"/>
      <c r="AS63" s="255"/>
      <c r="AT63" s="280" t="s">
        <v>476</v>
      </c>
      <c r="AU63" s="255"/>
      <c r="AV63" s="255"/>
      <c r="AW63" s="255"/>
      <c r="AX63" s="280" t="s">
        <v>477</v>
      </c>
      <c r="AY63" s="255"/>
      <c r="AZ63" s="255"/>
      <c r="BA63" s="255"/>
      <c r="BB63" s="280" t="s">
        <v>478</v>
      </c>
      <c r="BC63" s="255"/>
      <c r="BD63" s="255"/>
      <c r="BE63" s="255"/>
      <c r="BF63" s="280" t="s">
        <v>479</v>
      </c>
      <c r="BG63" s="255"/>
      <c r="BH63" s="255"/>
      <c r="BI63" s="255"/>
      <c r="BJ63" s="280" t="s">
        <v>480</v>
      </c>
      <c r="BK63" s="255"/>
      <c r="BL63" s="255"/>
      <c r="BM63" s="255"/>
      <c r="BN63" s="255"/>
      <c r="BO63" s="255"/>
      <c r="BP63" s="255"/>
      <c r="BQ63" s="255"/>
      <c r="BR63" s="255"/>
      <c r="BS63" s="255"/>
    </row>
    <row r="64" spans="1:71" x14ac:dyDescent="0.25">
      <c r="A64" s="255"/>
      <c r="B64" s="240" t="s">
        <v>386</v>
      </c>
      <c r="C64" s="315">
        <v>160</v>
      </c>
      <c r="D64" s="240" t="s">
        <v>157</v>
      </c>
      <c r="E64" s="315">
        <v>4</v>
      </c>
      <c r="F64" s="240" t="s">
        <v>165</v>
      </c>
      <c r="G64" s="315">
        <v>36</v>
      </c>
      <c r="H64" s="293" t="s">
        <v>95</v>
      </c>
      <c r="I64" s="272">
        <v>0.5</v>
      </c>
      <c r="J64" s="240" t="s">
        <v>187</v>
      </c>
      <c r="K64" s="329">
        <f>TRUNC(IF(H64="Tm",G64*9.81*I64,G64*I64),2)</f>
        <v>176.58</v>
      </c>
      <c r="L64" s="255"/>
      <c r="M64" s="255"/>
      <c r="N64" s="255"/>
      <c r="O64" s="255"/>
      <c r="P64" s="255"/>
      <c r="Q64" s="255"/>
      <c r="R64" s="255"/>
      <c r="S64" s="282">
        <v>20</v>
      </c>
      <c r="T64">
        <v>0.66</v>
      </c>
      <c r="U64">
        <v>0.78</v>
      </c>
      <c r="V64">
        <v>0.87</v>
      </c>
      <c r="W64">
        <v>0.94</v>
      </c>
      <c r="X64">
        <v>0.98</v>
      </c>
      <c r="Y64">
        <v>0.99</v>
      </c>
      <c r="Z64">
        <v>0.96</v>
      </c>
      <c r="AA64">
        <v>0.91</v>
      </c>
      <c r="AB64">
        <v>0.88</v>
      </c>
      <c r="AC64">
        <v>0.83</v>
      </c>
      <c r="AD64">
        <v>0.73</v>
      </c>
      <c r="AE64">
        <v>0.6</v>
      </c>
      <c r="AF64">
        <v>0.46</v>
      </c>
      <c r="AG64">
        <v>0.3</v>
      </c>
      <c r="AH64" s="284">
        <v>70</v>
      </c>
      <c r="AI64" s="255"/>
      <c r="AJ64" s="255"/>
      <c r="AK64" s="282">
        <v>7.5</v>
      </c>
      <c r="AL64">
        <v>10.143000000000001</v>
      </c>
      <c r="AM64" s="255"/>
      <c r="AN64" s="255"/>
      <c r="AO64" s="255"/>
      <c r="AP64" s="284">
        <v>2.5</v>
      </c>
      <c r="AQ64">
        <v>33.47</v>
      </c>
      <c r="AR64" s="255"/>
      <c r="AS64" s="255"/>
      <c r="AT64" s="240" t="s">
        <v>146</v>
      </c>
      <c r="AU64" s="284" t="s">
        <v>483</v>
      </c>
      <c r="AV64" s="282" t="s">
        <v>482</v>
      </c>
      <c r="AW64" s="255"/>
      <c r="AX64" s="240" t="s">
        <v>146</v>
      </c>
      <c r="AY64" s="284" t="s">
        <v>483</v>
      </c>
      <c r="AZ64" s="282" t="s">
        <v>482</v>
      </c>
      <c r="BA64" s="255"/>
      <c r="BB64" s="240" t="s">
        <v>146</v>
      </c>
      <c r="BC64" s="284" t="s">
        <v>483</v>
      </c>
      <c r="BD64" s="282" t="s">
        <v>482</v>
      </c>
      <c r="BE64" s="255"/>
      <c r="BF64" s="240" t="s">
        <v>146</v>
      </c>
      <c r="BG64" s="284" t="s">
        <v>483</v>
      </c>
      <c r="BH64" s="282" t="s">
        <v>482</v>
      </c>
      <c r="BI64" s="255"/>
      <c r="BJ64" s="240" t="s">
        <v>146</v>
      </c>
      <c r="BK64" s="284" t="s">
        <v>483</v>
      </c>
      <c r="BL64" s="282" t="s">
        <v>482</v>
      </c>
      <c r="BM64" s="255"/>
      <c r="BN64" s="255"/>
      <c r="BO64" s="255"/>
      <c r="BP64" s="255"/>
      <c r="BQ64" s="255"/>
      <c r="BR64" s="255"/>
      <c r="BS64" s="255"/>
    </row>
    <row r="65" spans="1:71" x14ac:dyDescent="0.25">
      <c r="A65" s="255"/>
      <c r="B65" s="240" t="s">
        <v>387</v>
      </c>
      <c r="C65" s="315">
        <v>16</v>
      </c>
      <c r="D65" s="240" t="s">
        <v>158</v>
      </c>
      <c r="E65" s="315">
        <v>8</v>
      </c>
      <c r="F65" s="240" t="s">
        <v>166</v>
      </c>
      <c r="G65" s="315"/>
      <c r="H65" s="293" t="s">
        <v>367</v>
      </c>
      <c r="I65" s="272">
        <v>0.33</v>
      </c>
      <c r="J65" s="240" t="s">
        <v>187</v>
      </c>
      <c r="K65" s="329">
        <f t="shared" ref="K65:K71" si="11">TRUNC(IF(H65="Tm",G65*9.81*I65,G65*I65),2)</f>
        <v>0</v>
      </c>
      <c r="L65" s="255"/>
      <c r="M65" s="255"/>
      <c r="N65" s="255"/>
      <c r="O65" s="255"/>
      <c r="P65" s="255"/>
      <c r="Q65" s="255"/>
      <c r="R65" s="255"/>
      <c r="S65" s="282">
        <v>30</v>
      </c>
      <c r="T65">
        <v>0.6</v>
      </c>
      <c r="U65">
        <v>0.71</v>
      </c>
      <c r="V65">
        <v>0.8</v>
      </c>
      <c r="W65">
        <v>0.87</v>
      </c>
      <c r="X65">
        <v>0.9</v>
      </c>
      <c r="Y65">
        <v>0.92</v>
      </c>
      <c r="Z65">
        <v>0.9</v>
      </c>
      <c r="AA65">
        <v>0.86</v>
      </c>
      <c r="AB65">
        <v>0.82</v>
      </c>
      <c r="AC65">
        <v>0.79</v>
      </c>
      <c r="AD65">
        <v>0.69</v>
      </c>
      <c r="AE65">
        <v>0.57999999999999996</v>
      </c>
      <c r="AF65">
        <v>0.45</v>
      </c>
      <c r="AG65">
        <v>0.3</v>
      </c>
      <c r="AH65" s="284">
        <v>60</v>
      </c>
      <c r="AI65" s="255"/>
      <c r="AJ65" s="255"/>
      <c r="AK65" s="282">
        <v>7.6</v>
      </c>
      <c r="AL65">
        <v>10.115</v>
      </c>
      <c r="AM65" s="255"/>
      <c r="AN65" s="255"/>
      <c r="AO65" s="255"/>
      <c r="AP65" s="284">
        <v>2.6</v>
      </c>
      <c r="AQ65">
        <v>32.35</v>
      </c>
      <c r="AR65" s="255"/>
      <c r="AS65" s="255"/>
      <c r="AT65">
        <v>12431.5</v>
      </c>
      <c r="AU65">
        <v>536</v>
      </c>
      <c r="AV65">
        <v>10.119999999999999</v>
      </c>
      <c r="AW65" s="255"/>
      <c r="AX65">
        <v>13349.5</v>
      </c>
      <c r="AY65">
        <v>688</v>
      </c>
      <c r="AZ65">
        <v>10.210000000000001</v>
      </c>
      <c r="BA65" s="255"/>
      <c r="BB65">
        <v>13351.3</v>
      </c>
      <c r="BC65">
        <v>688</v>
      </c>
      <c r="BD65">
        <v>10.210000000000001</v>
      </c>
      <c r="BE65" s="255"/>
      <c r="BF65">
        <v>13349.6</v>
      </c>
      <c r="BG65">
        <v>688</v>
      </c>
      <c r="BH65">
        <v>10.210000000000001</v>
      </c>
      <c r="BI65" s="255"/>
      <c r="BJ65">
        <v>13265.4</v>
      </c>
      <c r="BK65">
        <v>688</v>
      </c>
      <c r="BL65">
        <v>10.52</v>
      </c>
      <c r="BM65" s="255"/>
      <c r="BN65" s="255"/>
      <c r="BO65" s="255"/>
      <c r="BP65" s="255"/>
      <c r="BQ65" s="255"/>
      <c r="BR65" s="255"/>
      <c r="BS65" s="255"/>
    </row>
    <row r="66" spans="1:71" x14ac:dyDescent="0.25">
      <c r="A66" s="255"/>
      <c r="B66" s="240" t="s">
        <v>150</v>
      </c>
      <c r="C66" s="306" cm="1">
        <f t="array" ref="C66">ROUND(IF(OR(ISBLANK(C64),ISBLANK(C65)),"0",
IF(OR(C64&lt;V24,C64&gt;AF24,C65&lt;U25,C65&gt;U30),"Fuera de rango",
(
(INDEX(V25:AF30,MATCH(C65,U25:U30,1),MATCH(C64,V24:AF24,1))*(INDEX(V24:AF24,1,MATCH(C64,V24:AF24,1)+1)-C64)*(INDEX(U25:U30,MATCH(C65,U25:U30,1)+1,1)-C65)+
INDEX(V25:AF30,MATCH(C65,U25:U30,1)+1,MATCH(C64,V24:AF24,1))*(INDEX(V24:AF24,1,MATCH(C64,V24:AF24,1)+1)-C64)*(C65-INDEX(U25:U30,MATCH(C65,U25:U30,1),1))+
INDEX(V25:AF30,MATCH(C65,U25:U30,1),MATCH(C64,V24:AF24,1)+1)*(C64-INDEX(V24:AF24,1,MATCH(C64,V24:AF24,1),1))*(INDEX(U25:U30,MATCH(C65,U25:U30,1)+1,1)-C65)+
INDEX(V25:AF30,MATCH(C65,U25:U30,1)+1,MATCH(C64,V24:AF24,1)+1)*(C64-INDEX(V24:AF24,1,MATCH(C64,V24:AF24,1),1))*(C65-INDEX(U25:U30,MATCH(C65,U25:U30,1),1))
)
/(
(INDEX(V24:AF24,1,MATCH(C64,V24:AF24,1)+1)-INDEX(V24:AF24,1,MATCH(C64,V24:AF24,1),1))*
(INDEX(U25:U30,MATCH(C65,U25:U30,1)+1,1)-INDEX(U25:U30,MATCH(C65,U25:U30,1),1))
)
))),2)</f>
        <v>0.76</v>
      </c>
      <c r="D66" s="240" t="s">
        <v>159</v>
      </c>
      <c r="E66" s="315">
        <v>6.6</v>
      </c>
      <c r="F66" s="240" t="s">
        <v>167</v>
      </c>
      <c r="G66" s="315">
        <v>30</v>
      </c>
      <c r="H66" s="293" t="s">
        <v>95</v>
      </c>
      <c r="I66" s="272">
        <v>0.8</v>
      </c>
      <c r="J66" s="240" t="s">
        <v>187</v>
      </c>
      <c r="K66" s="329">
        <f t="shared" si="11"/>
        <v>235.44</v>
      </c>
      <c r="L66" s="255"/>
      <c r="M66" s="255"/>
      <c r="N66" s="255"/>
      <c r="O66" s="255"/>
      <c r="P66" s="255"/>
      <c r="Q66" s="255"/>
      <c r="R66" s="255"/>
      <c r="S66" s="282">
        <v>40</v>
      </c>
      <c r="T66">
        <v>0.51</v>
      </c>
      <c r="U66">
        <v>0.62</v>
      </c>
      <c r="V66">
        <v>0.7</v>
      </c>
      <c r="W66">
        <v>0.77</v>
      </c>
      <c r="X66">
        <v>0.81</v>
      </c>
      <c r="Y66">
        <v>0.82</v>
      </c>
      <c r="Z66">
        <v>0.81</v>
      </c>
      <c r="AA66">
        <v>0.78</v>
      </c>
      <c r="AB66">
        <v>0.75</v>
      </c>
      <c r="AC66">
        <v>0.72</v>
      </c>
      <c r="AD66">
        <v>0.64</v>
      </c>
      <c r="AE66">
        <v>0.54</v>
      </c>
      <c r="AF66">
        <v>0.43</v>
      </c>
      <c r="AG66">
        <v>0.3</v>
      </c>
      <c r="AH66" s="284">
        <v>50</v>
      </c>
      <c r="AI66" s="255"/>
      <c r="AJ66" s="255"/>
      <c r="AK66" s="282">
        <v>7.7</v>
      </c>
      <c r="AL66">
        <v>10.087</v>
      </c>
      <c r="AM66" s="255"/>
      <c r="AN66" s="255"/>
      <c r="AO66" s="255"/>
      <c r="AP66" s="284">
        <v>2.7</v>
      </c>
      <c r="AQ66">
        <v>31.32</v>
      </c>
      <c r="AR66" s="255"/>
      <c r="AS66" s="255"/>
      <c r="AT66">
        <v>12351.7</v>
      </c>
      <c r="AU66">
        <v>1406</v>
      </c>
      <c r="AV66">
        <v>10.050000000000001</v>
      </c>
      <c r="AW66" s="255"/>
      <c r="AX66">
        <v>13253</v>
      </c>
      <c r="AY66">
        <v>1749</v>
      </c>
      <c r="AZ66">
        <v>10.14</v>
      </c>
      <c r="BA66" s="255"/>
      <c r="BB66">
        <v>13254.8</v>
      </c>
      <c r="BC66">
        <v>1749</v>
      </c>
      <c r="BD66">
        <v>10.14</v>
      </c>
      <c r="BE66" s="255"/>
      <c r="BF66">
        <v>13253</v>
      </c>
      <c r="BG66">
        <v>1749</v>
      </c>
      <c r="BH66">
        <v>10.14</v>
      </c>
      <c r="BI66" s="255"/>
      <c r="BJ66">
        <v>13168.9</v>
      </c>
      <c r="BK66">
        <v>1749</v>
      </c>
      <c r="BL66">
        <v>10.46</v>
      </c>
      <c r="BM66" s="255"/>
      <c r="BN66" s="255"/>
      <c r="BO66" s="255"/>
      <c r="BP66" s="255"/>
      <c r="BQ66" s="255"/>
      <c r="BR66" s="255"/>
      <c r="BS66" s="255"/>
    </row>
    <row r="67" spans="1:71" x14ac:dyDescent="0.25">
      <c r="A67" s="255"/>
      <c r="B67" s="240" t="s">
        <v>151</v>
      </c>
      <c r="C67" s="315">
        <v>1.0900000000000001</v>
      </c>
      <c r="D67" s="240" t="s">
        <v>45</v>
      </c>
      <c r="E67" s="315">
        <v>290</v>
      </c>
      <c r="F67" s="240" t="s">
        <v>168</v>
      </c>
      <c r="G67" s="315"/>
      <c r="H67" s="293" t="s">
        <v>367</v>
      </c>
      <c r="I67" s="272">
        <v>0.3</v>
      </c>
      <c r="J67" s="240" t="s">
        <v>187</v>
      </c>
      <c r="K67" s="329">
        <f t="shared" si="11"/>
        <v>0</v>
      </c>
      <c r="L67" s="255"/>
      <c r="M67" s="255"/>
      <c r="N67" s="255"/>
      <c r="O67" s="255"/>
      <c r="P67" s="255"/>
      <c r="Q67" s="255"/>
      <c r="R67" s="255"/>
      <c r="S67" s="282">
        <v>50</v>
      </c>
      <c r="T67">
        <v>0.41</v>
      </c>
      <c r="U67">
        <v>0.5</v>
      </c>
      <c r="V67">
        <v>0.57999999999999996</v>
      </c>
      <c r="W67">
        <v>0.64</v>
      </c>
      <c r="X67">
        <v>0.69</v>
      </c>
      <c r="Y67">
        <v>0.71</v>
      </c>
      <c r="Z67">
        <v>0.71</v>
      </c>
      <c r="AA67">
        <v>0.69</v>
      </c>
      <c r="AB67">
        <v>0.67</v>
      </c>
      <c r="AC67">
        <v>0.64</v>
      </c>
      <c r="AD67">
        <v>0.57999999999999996</v>
      </c>
      <c r="AE67">
        <v>0.5</v>
      </c>
      <c r="AF67">
        <v>0.41</v>
      </c>
      <c r="AG67">
        <v>0.3</v>
      </c>
      <c r="AH67" s="284">
        <v>40</v>
      </c>
      <c r="AI67" s="255"/>
      <c r="AJ67" s="255"/>
      <c r="AK67" s="282">
        <v>7.8</v>
      </c>
      <c r="AL67">
        <v>10.058999999999999</v>
      </c>
      <c r="AM67" s="255"/>
      <c r="AN67" s="255"/>
      <c r="AO67" s="255"/>
      <c r="AP67" s="284">
        <v>2.8</v>
      </c>
      <c r="AQ67">
        <v>30.36</v>
      </c>
      <c r="AR67" s="255"/>
      <c r="AS67" s="255"/>
      <c r="AT67">
        <v>12271.4</v>
      </c>
      <c r="AU67">
        <v>2113</v>
      </c>
      <c r="AV67">
        <v>9.99</v>
      </c>
      <c r="AW67" s="255"/>
      <c r="AX67">
        <v>13156.4</v>
      </c>
      <c r="AY67">
        <v>2603</v>
      </c>
      <c r="AZ67">
        <v>10.07</v>
      </c>
      <c r="BA67" s="255"/>
      <c r="BB67">
        <v>13158.2</v>
      </c>
      <c r="BC67">
        <v>2603</v>
      </c>
      <c r="BD67">
        <v>10.07</v>
      </c>
      <c r="BE67" s="255"/>
      <c r="BF67">
        <v>13156.5</v>
      </c>
      <c r="BG67">
        <v>2603</v>
      </c>
      <c r="BH67">
        <v>10.07</v>
      </c>
      <c r="BI67" s="255"/>
      <c r="BJ67">
        <v>13072.3</v>
      </c>
      <c r="BK67">
        <v>2603</v>
      </c>
      <c r="BL67">
        <v>10.39</v>
      </c>
      <c r="BM67" s="255"/>
      <c r="BN67" s="255"/>
      <c r="BO67" s="255"/>
      <c r="BP67" s="255"/>
      <c r="BQ67" s="255"/>
      <c r="BR67" s="255"/>
      <c r="BS67" s="255"/>
    </row>
    <row r="68" spans="1:71" x14ac:dyDescent="0.25">
      <c r="A68" s="255"/>
      <c r="B68" s="240" t="s">
        <v>152</v>
      </c>
      <c r="C68" s="300">
        <v>1</v>
      </c>
      <c r="D68" s="268" t="s">
        <v>160</v>
      </c>
      <c r="E68" s="315">
        <v>0.3</v>
      </c>
      <c r="F68" s="240" t="s">
        <v>169</v>
      </c>
      <c r="G68" s="315"/>
      <c r="H68" s="293" t="s">
        <v>367</v>
      </c>
      <c r="I68" s="272">
        <v>0.7</v>
      </c>
      <c r="J68" s="240" t="s">
        <v>187</v>
      </c>
      <c r="K68" s="329">
        <f t="shared" si="11"/>
        <v>0</v>
      </c>
      <c r="L68" s="255"/>
      <c r="M68" s="255"/>
      <c r="N68" s="255"/>
      <c r="O68" s="255"/>
      <c r="P68" s="255"/>
      <c r="Q68" s="255"/>
      <c r="R68" s="255"/>
      <c r="S68" s="282">
        <v>60</v>
      </c>
      <c r="T68">
        <v>0.28000000000000003</v>
      </c>
      <c r="U68">
        <v>0.37</v>
      </c>
      <c r="V68">
        <v>0.44</v>
      </c>
      <c r="W68">
        <v>0.5</v>
      </c>
      <c r="X68">
        <v>0.54</v>
      </c>
      <c r="Y68">
        <v>0.56999999999999995</v>
      </c>
      <c r="Z68">
        <v>0.57999999999999996</v>
      </c>
      <c r="AA68">
        <v>0.57999999999999996</v>
      </c>
      <c r="AB68">
        <v>0.56999999999999995</v>
      </c>
      <c r="AC68">
        <v>0.55000000000000004</v>
      </c>
      <c r="AD68">
        <v>0.51</v>
      </c>
      <c r="AE68">
        <v>0.45</v>
      </c>
      <c r="AF68">
        <v>0.38</v>
      </c>
      <c r="AG68">
        <v>0.3</v>
      </c>
      <c r="AH68" s="284">
        <v>30</v>
      </c>
      <c r="AI68" s="255"/>
      <c r="AJ68" s="255"/>
      <c r="AK68" s="282">
        <v>7.9</v>
      </c>
      <c r="AL68">
        <v>10.029</v>
      </c>
      <c r="AM68" s="255"/>
      <c r="AN68" s="255"/>
      <c r="AO68" s="255"/>
      <c r="AP68" s="284">
        <v>2.9</v>
      </c>
      <c r="AQ68">
        <v>29.46</v>
      </c>
      <c r="AR68" s="255"/>
      <c r="AS68" s="255"/>
      <c r="AT68">
        <v>12190.4</v>
      </c>
      <c r="AU68">
        <v>2770</v>
      </c>
      <c r="AV68">
        <v>9.93</v>
      </c>
      <c r="AW68" s="255"/>
      <c r="AX68">
        <v>13059.9</v>
      </c>
      <c r="AY68">
        <v>3384</v>
      </c>
      <c r="AZ68">
        <v>10</v>
      </c>
      <c r="BA68" s="255"/>
      <c r="BB68">
        <v>13061.7</v>
      </c>
      <c r="BC68">
        <v>3384</v>
      </c>
      <c r="BD68">
        <v>10</v>
      </c>
      <c r="BE68" s="255"/>
      <c r="BF68">
        <v>13059.9</v>
      </c>
      <c r="BG68">
        <v>3384</v>
      </c>
      <c r="BH68">
        <v>10</v>
      </c>
      <c r="BI68" s="255"/>
      <c r="BJ68">
        <v>12975.8</v>
      </c>
      <c r="BK68">
        <v>3384</v>
      </c>
      <c r="BL68">
        <v>10.32</v>
      </c>
      <c r="BM68" s="255"/>
      <c r="BN68" s="255"/>
      <c r="BO68" s="255"/>
      <c r="BP68" s="255"/>
      <c r="BQ68" s="255"/>
      <c r="BR68" s="255"/>
      <c r="BS68" s="255"/>
    </row>
    <row r="69" spans="1:71" x14ac:dyDescent="0.25">
      <c r="A69" s="255"/>
      <c r="B69" s="240" t="s">
        <v>153</v>
      </c>
      <c r="C69" s="315">
        <v>2.9</v>
      </c>
      <c r="D69" s="240" t="s">
        <v>161</v>
      </c>
      <c r="E69" s="315">
        <v>3.3</v>
      </c>
      <c r="F69" s="240" t="s">
        <v>170</v>
      </c>
      <c r="G69" s="315"/>
      <c r="H69" s="293" t="s">
        <v>367</v>
      </c>
      <c r="I69" s="272">
        <v>0.5</v>
      </c>
      <c r="J69" s="240" t="s">
        <v>187</v>
      </c>
      <c r="K69" s="329">
        <f t="shared" si="11"/>
        <v>0</v>
      </c>
      <c r="L69" s="255"/>
      <c r="M69" s="255"/>
      <c r="N69" s="255"/>
      <c r="O69" s="255"/>
      <c r="P69" s="255"/>
      <c r="Q69" s="255"/>
      <c r="R69" s="255"/>
      <c r="S69" s="282">
        <v>70</v>
      </c>
      <c r="T69">
        <v>0.15</v>
      </c>
      <c r="U69">
        <v>0.22</v>
      </c>
      <c r="V69">
        <v>0.28000000000000003</v>
      </c>
      <c r="W69">
        <v>0.34</v>
      </c>
      <c r="X69">
        <v>0.39</v>
      </c>
      <c r="Y69">
        <v>0.42</v>
      </c>
      <c r="Z69">
        <v>0.45</v>
      </c>
      <c r="AA69">
        <v>0.45</v>
      </c>
      <c r="AB69">
        <v>0.45</v>
      </c>
      <c r="AC69">
        <v>0.45</v>
      </c>
      <c r="AD69">
        <v>0.43</v>
      </c>
      <c r="AE69">
        <v>0.4</v>
      </c>
      <c r="AF69">
        <v>0.35</v>
      </c>
      <c r="AG69">
        <v>0.3</v>
      </c>
      <c r="AH69" s="284">
        <v>20</v>
      </c>
      <c r="AI69" s="255"/>
      <c r="AJ69" s="255"/>
      <c r="AK69" s="282">
        <v>8</v>
      </c>
      <c r="AL69">
        <v>10</v>
      </c>
      <c r="AM69" s="255"/>
      <c r="AN69" s="255"/>
      <c r="AO69" s="255"/>
      <c r="AP69" s="284">
        <v>3</v>
      </c>
      <c r="AQ69">
        <v>28.63</v>
      </c>
      <c r="AR69" s="255"/>
      <c r="AS69" s="255"/>
      <c r="AT69">
        <v>12108.6</v>
      </c>
      <c r="AU69">
        <v>3390</v>
      </c>
      <c r="AV69">
        <v>9.8699999999999992</v>
      </c>
      <c r="AW69" s="255"/>
      <c r="AX69">
        <v>12963.3</v>
      </c>
      <c r="AY69">
        <v>4122</v>
      </c>
      <c r="AZ69">
        <v>9.94</v>
      </c>
      <c r="BA69" s="255"/>
      <c r="BB69">
        <v>12965.1</v>
      </c>
      <c r="BC69">
        <v>4122</v>
      </c>
      <c r="BD69">
        <v>9.94</v>
      </c>
      <c r="BE69" s="255"/>
      <c r="BF69">
        <v>12963.4</v>
      </c>
      <c r="BG69">
        <v>4122</v>
      </c>
      <c r="BH69">
        <v>9.94</v>
      </c>
      <c r="BI69" s="255"/>
      <c r="BJ69">
        <v>12879.2</v>
      </c>
      <c r="BK69">
        <v>4120</v>
      </c>
      <c r="BL69">
        <v>10.26</v>
      </c>
      <c r="BM69" s="255"/>
      <c r="BN69" s="255"/>
      <c r="BO69" s="255"/>
      <c r="BP69" s="255"/>
      <c r="BQ69" s="255"/>
      <c r="BR69" s="255"/>
      <c r="BS69" s="255"/>
    </row>
    <row r="70" spans="1:71" x14ac:dyDescent="0.25">
      <c r="A70" s="255"/>
      <c r="B70" s="240" t="s">
        <v>154</v>
      </c>
      <c r="C70" s="315">
        <v>6.3</v>
      </c>
      <c r="D70" s="268" t="s">
        <v>162</v>
      </c>
      <c r="E70" s="315">
        <v>4</v>
      </c>
      <c r="F70" s="240" t="s">
        <v>171</v>
      </c>
      <c r="G70" s="315"/>
      <c r="H70" s="293" t="s">
        <v>367</v>
      </c>
      <c r="I70" s="272">
        <v>0.7</v>
      </c>
      <c r="J70" s="240" t="s">
        <v>187</v>
      </c>
      <c r="K70" s="329">
        <f t="shared" si="11"/>
        <v>0</v>
      </c>
      <c r="L70" s="255"/>
      <c r="M70" s="255"/>
      <c r="N70" s="255"/>
      <c r="O70" s="255"/>
      <c r="P70" s="255"/>
      <c r="Q70" s="255"/>
      <c r="R70" s="255"/>
      <c r="S70" s="282">
        <v>80</v>
      </c>
      <c r="T70">
        <v>0</v>
      </c>
      <c r="U70">
        <v>0.06</v>
      </c>
      <c r="V70">
        <v>0.12</v>
      </c>
      <c r="W70">
        <v>0.17</v>
      </c>
      <c r="X70">
        <v>0.22</v>
      </c>
      <c r="Y70">
        <v>0.27</v>
      </c>
      <c r="Z70">
        <v>0.3</v>
      </c>
      <c r="AA70">
        <v>0.33</v>
      </c>
      <c r="AB70">
        <v>0.33</v>
      </c>
      <c r="AC70">
        <v>0.34</v>
      </c>
      <c r="AD70">
        <v>0.35</v>
      </c>
      <c r="AE70">
        <v>0.34</v>
      </c>
      <c r="AF70">
        <v>0.33</v>
      </c>
      <c r="AG70">
        <v>0.3</v>
      </c>
      <c r="AH70" s="284">
        <v>10</v>
      </c>
      <c r="AI70" s="255"/>
      <c r="AJ70" s="255"/>
      <c r="AK70" s="282">
        <v>8.1</v>
      </c>
      <c r="AL70">
        <v>9.9700000000000006</v>
      </c>
      <c r="AM70" s="255"/>
      <c r="AN70" s="255"/>
      <c r="AO70" s="255"/>
      <c r="AP70" s="284">
        <v>3.1</v>
      </c>
      <c r="AQ70">
        <v>27.88</v>
      </c>
      <c r="AR70" s="255"/>
      <c r="AS70" s="255"/>
      <c r="AT70">
        <v>12026.1</v>
      </c>
      <c r="AU70">
        <v>4032</v>
      </c>
      <c r="AV70">
        <v>9.81</v>
      </c>
      <c r="AW70" s="255"/>
      <c r="AX70">
        <v>12867</v>
      </c>
      <c r="AY70">
        <v>4943</v>
      </c>
      <c r="AZ70">
        <v>9.8699999999999992</v>
      </c>
      <c r="BA70" s="255"/>
      <c r="BB70">
        <v>12868.6</v>
      </c>
      <c r="BC70">
        <v>4943</v>
      </c>
      <c r="BD70">
        <v>9.8699999999999992</v>
      </c>
      <c r="BE70" s="255"/>
      <c r="BF70">
        <v>12866.8</v>
      </c>
      <c r="BG70">
        <v>4943</v>
      </c>
      <c r="BH70">
        <v>9.8699999999999992</v>
      </c>
      <c r="BI70" s="255"/>
      <c r="BJ70">
        <v>12782.7</v>
      </c>
      <c r="BK70">
        <v>4934</v>
      </c>
      <c r="BL70">
        <v>10.19</v>
      </c>
      <c r="BM70" s="255"/>
      <c r="BN70" s="255"/>
      <c r="BO70" s="255"/>
      <c r="BP70" s="255"/>
      <c r="BQ70" s="255"/>
      <c r="BR70" s="255"/>
      <c r="BS70" s="255"/>
    </row>
    <row r="71" spans="1:71" x14ac:dyDescent="0.25">
      <c r="A71" s="255"/>
      <c r="B71" s="240" t="s">
        <v>155</v>
      </c>
      <c r="C71" s="315">
        <v>6.2</v>
      </c>
      <c r="D71" s="240" t="s">
        <v>163</v>
      </c>
      <c r="E71" s="315">
        <v>4</v>
      </c>
      <c r="F71" s="240" t="s">
        <v>172</v>
      </c>
      <c r="G71" s="315"/>
      <c r="H71" s="293" t="s">
        <v>367</v>
      </c>
      <c r="I71" s="272">
        <v>0.3</v>
      </c>
      <c r="J71" s="240" t="s">
        <v>187</v>
      </c>
      <c r="K71" s="329">
        <f t="shared" si="11"/>
        <v>0</v>
      </c>
      <c r="L71" s="255"/>
      <c r="M71" s="255"/>
      <c r="N71" s="255"/>
      <c r="O71" s="255"/>
      <c r="P71" s="255"/>
      <c r="Q71" s="255"/>
      <c r="R71" s="255"/>
      <c r="S71" s="282">
        <v>90</v>
      </c>
      <c r="T71">
        <v>-0.15</v>
      </c>
      <c r="U71">
        <v>-0.1</v>
      </c>
      <c r="V71">
        <v>-0.05</v>
      </c>
      <c r="W71">
        <v>0</v>
      </c>
      <c r="X71">
        <v>0.05</v>
      </c>
      <c r="Y71">
        <v>0.1</v>
      </c>
      <c r="Z71">
        <v>0.15</v>
      </c>
      <c r="AA71">
        <v>0.19</v>
      </c>
      <c r="AB71">
        <v>0.21</v>
      </c>
      <c r="AC71">
        <v>0.23</v>
      </c>
      <c r="AD71">
        <v>0.26</v>
      </c>
      <c r="AE71">
        <v>0.28000000000000003</v>
      </c>
      <c r="AF71">
        <v>0.3</v>
      </c>
      <c r="AG71">
        <v>0.3</v>
      </c>
      <c r="AH71" s="284">
        <v>0</v>
      </c>
      <c r="AI71" s="255"/>
      <c r="AJ71" s="255"/>
      <c r="AK71" s="282">
        <v>8.1999999999999993</v>
      </c>
      <c r="AL71">
        <v>9.9390000000000001</v>
      </c>
      <c r="AM71" s="255"/>
      <c r="AN71" s="255"/>
      <c r="AO71" s="255"/>
      <c r="AP71" s="284">
        <v>3.2</v>
      </c>
      <c r="AQ71">
        <v>27.16</v>
      </c>
      <c r="AR71" s="255"/>
      <c r="AS71" s="255"/>
      <c r="AT71">
        <v>11942.9</v>
      </c>
      <c r="AU71">
        <v>4685</v>
      </c>
      <c r="AV71">
        <v>9.75</v>
      </c>
      <c r="AW71" s="255"/>
      <c r="AX71">
        <v>12770.2</v>
      </c>
      <c r="AY71">
        <v>5781</v>
      </c>
      <c r="AZ71">
        <v>9.8000000000000007</v>
      </c>
      <c r="BA71" s="255"/>
      <c r="BB71">
        <v>12772</v>
      </c>
      <c r="BC71">
        <v>5781</v>
      </c>
      <c r="BD71">
        <v>9.8000000000000007</v>
      </c>
      <c r="BE71" s="255"/>
      <c r="BF71">
        <v>12770.3</v>
      </c>
      <c r="BG71">
        <v>5781</v>
      </c>
      <c r="BH71">
        <v>9.8000000000000007</v>
      </c>
      <c r="BI71" s="255"/>
      <c r="BJ71">
        <v>12686.1</v>
      </c>
      <c r="BK71">
        <v>5767</v>
      </c>
      <c r="BL71">
        <v>10.130000000000001</v>
      </c>
      <c r="BM71" s="255"/>
      <c r="BN71" s="255"/>
      <c r="BO71" s="255"/>
      <c r="BP71" s="255"/>
      <c r="BQ71" s="255"/>
      <c r="BR71" s="255"/>
      <c r="BS71" s="255"/>
    </row>
    <row r="72" spans="1:71" x14ac:dyDescent="0.25">
      <c r="A72" s="255"/>
      <c r="B72" s="255"/>
      <c r="C72" s="255"/>
      <c r="D72" s="255"/>
      <c r="E72" s="255"/>
      <c r="F72" s="255"/>
      <c r="G72" s="255"/>
      <c r="H72" s="255"/>
      <c r="I72" s="255"/>
      <c r="J72" s="255"/>
      <c r="K72" s="255"/>
      <c r="L72" s="255"/>
      <c r="M72" s="255"/>
      <c r="N72" s="255"/>
      <c r="O72" s="255"/>
      <c r="P72" s="255"/>
      <c r="Q72" s="255"/>
      <c r="R72" s="255"/>
      <c r="S72" s="255"/>
      <c r="T72" s="255"/>
      <c r="U72" s="255"/>
      <c r="V72" s="255"/>
      <c r="W72" s="255"/>
      <c r="X72" s="255"/>
      <c r="Y72" s="255"/>
      <c r="Z72" s="255"/>
      <c r="AA72" s="255"/>
      <c r="AB72" s="255"/>
      <c r="AC72" s="255"/>
      <c r="AD72" s="255"/>
      <c r="AE72" s="255"/>
      <c r="AF72" s="255"/>
      <c r="AG72" s="255"/>
      <c r="AH72" s="255"/>
      <c r="AI72" s="255"/>
      <c r="AJ72" s="255"/>
      <c r="AK72" s="282">
        <v>8.3000000000000007</v>
      </c>
      <c r="AL72">
        <v>9.9079999999999995</v>
      </c>
      <c r="AM72" s="255"/>
      <c r="AN72" s="255"/>
      <c r="AO72" s="255"/>
      <c r="AP72" s="284">
        <v>3.3</v>
      </c>
      <c r="AQ72">
        <v>26.49</v>
      </c>
      <c r="AR72" s="255"/>
      <c r="AS72" s="255"/>
      <c r="AT72">
        <v>11859</v>
      </c>
      <c r="AU72">
        <v>5328</v>
      </c>
      <c r="AV72">
        <v>9.69</v>
      </c>
      <c r="AW72" s="255"/>
      <c r="AX72">
        <v>12673.7</v>
      </c>
      <c r="AY72">
        <v>6581</v>
      </c>
      <c r="AZ72">
        <v>9.74</v>
      </c>
      <c r="BA72" s="255"/>
      <c r="BB72">
        <v>12675.5</v>
      </c>
      <c r="BC72">
        <v>6581</v>
      </c>
      <c r="BD72">
        <v>9.74</v>
      </c>
      <c r="BE72" s="255"/>
      <c r="BF72">
        <v>12673.7</v>
      </c>
      <c r="BG72">
        <v>6581</v>
      </c>
      <c r="BH72">
        <v>9.74</v>
      </c>
      <c r="BI72" s="255"/>
      <c r="BJ72">
        <v>12589.6</v>
      </c>
      <c r="BK72">
        <v>6565</v>
      </c>
      <c r="BL72">
        <v>10.06</v>
      </c>
      <c r="BM72" s="255"/>
      <c r="BN72" s="255"/>
      <c r="BO72" s="255"/>
      <c r="BP72" s="255"/>
      <c r="BQ72" s="255"/>
      <c r="BR72" s="255"/>
      <c r="BS72" s="255"/>
    </row>
    <row r="73" spans="1:71" x14ac:dyDescent="0.25">
      <c r="A73" s="255"/>
      <c r="B73" s="240" t="s">
        <v>173</v>
      </c>
      <c r="C73" s="240"/>
      <c r="D73" s="255"/>
      <c r="E73" s="240" t="s">
        <v>182</v>
      </c>
      <c r="F73" s="240" t="s">
        <v>157</v>
      </c>
      <c r="G73" s="240" t="s">
        <v>158</v>
      </c>
      <c r="H73" s="240" t="s">
        <v>159</v>
      </c>
      <c r="I73" s="240" t="s">
        <v>181</v>
      </c>
      <c r="J73" s="255"/>
      <c r="K73" s="255"/>
      <c r="L73" s="255"/>
      <c r="M73" s="255"/>
      <c r="N73" s="255"/>
      <c r="O73" s="255"/>
      <c r="P73" s="255"/>
      <c r="Q73" s="255"/>
      <c r="R73" s="255"/>
      <c r="S73" s="280">
        <v>0.2</v>
      </c>
      <c r="T73" s="255"/>
      <c r="U73" s="255"/>
      <c r="V73" s="255"/>
      <c r="W73" s="255"/>
      <c r="X73" s="255"/>
      <c r="Y73" s="255"/>
      <c r="Z73" s="255"/>
      <c r="AA73" s="255"/>
      <c r="AB73" s="255"/>
      <c r="AC73" s="255"/>
      <c r="AD73" s="255"/>
      <c r="AE73" s="255"/>
      <c r="AF73" s="255"/>
      <c r="AG73" s="255"/>
      <c r="AH73" s="255"/>
      <c r="AI73" s="255"/>
      <c r="AJ73" s="255"/>
      <c r="AK73" s="282">
        <v>8.4</v>
      </c>
      <c r="AL73">
        <v>9.8770000000000007</v>
      </c>
      <c r="AM73" s="255"/>
      <c r="AN73" s="255"/>
      <c r="AO73" s="255"/>
      <c r="AP73" s="284">
        <v>3.4</v>
      </c>
      <c r="AQ73">
        <v>25.86</v>
      </c>
      <c r="AR73" s="255"/>
      <c r="AS73" s="255"/>
      <c r="AT73">
        <v>11774.3</v>
      </c>
      <c r="AU73">
        <v>5952</v>
      </c>
      <c r="AV73">
        <v>9.6300000000000008</v>
      </c>
      <c r="AW73" s="255"/>
      <c r="AX73">
        <v>12577.1</v>
      </c>
      <c r="AY73">
        <v>7347</v>
      </c>
      <c r="AZ73">
        <v>9.67</v>
      </c>
      <c r="BA73" s="255"/>
      <c r="BB73">
        <v>12578.9</v>
      </c>
      <c r="BC73">
        <v>7347</v>
      </c>
      <c r="BD73">
        <v>9.67</v>
      </c>
      <c r="BE73" s="255"/>
      <c r="BF73">
        <v>12577.1</v>
      </c>
      <c r="BG73">
        <v>7347</v>
      </c>
      <c r="BH73">
        <v>9.67</v>
      </c>
      <c r="BI73" s="255"/>
      <c r="BJ73">
        <v>12493</v>
      </c>
      <c r="BK73">
        <v>7330</v>
      </c>
      <c r="BL73">
        <v>10</v>
      </c>
      <c r="BM73" s="255"/>
      <c r="BN73" s="255"/>
      <c r="BO73" s="255"/>
      <c r="BP73" s="255"/>
      <c r="BQ73" s="255"/>
      <c r="BR73" s="255"/>
      <c r="BS73" s="255"/>
    </row>
    <row r="74" spans="1:71" x14ac:dyDescent="0.25">
      <c r="A74" s="255"/>
      <c r="B74" s="240" t="s">
        <v>174</v>
      </c>
      <c r="C74" s="243">
        <f>ROUND(C69*C66,2)</f>
        <v>2.2000000000000002</v>
      </c>
      <c r="D74" s="255"/>
      <c r="E74" s="240" t="s">
        <v>177</v>
      </c>
      <c r="F74" s="271"/>
      <c r="G74" s="273">
        <f>E65</f>
        <v>8</v>
      </c>
      <c r="H74" s="273">
        <f>E66</f>
        <v>6.6</v>
      </c>
      <c r="I74" s="243">
        <f>G74*H74</f>
        <v>52.8</v>
      </c>
      <c r="J74" s="255"/>
      <c r="K74" s="255"/>
      <c r="L74" s="255"/>
      <c r="M74" s="255"/>
      <c r="N74" s="255"/>
      <c r="O74" s="255"/>
      <c r="P74" s="255"/>
      <c r="Q74" s="255"/>
      <c r="R74" s="255"/>
      <c r="S74" t="s">
        <v>319</v>
      </c>
      <c r="T74" s="240">
        <v>-30</v>
      </c>
      <c r="U74" s="240">
        <v>-20</v>
      </c>
      <c r="V74" s="240">
        <v>-10</v>
      </c>
      <c r="W74" s="240">
        <v>0</v>
      </c>
      <c r="X74" s="240">
        <v>10</v>
      </c>
      <c r="Y74" s="240">
        <v>20</v>
      </c>
      <c r="Z74" s="240">
        <v>30</v>
      </c>
      <c r="AA74" s="240">
        <v>40</v>
      </c>
      <c r="AB74" s="240">
        <v>45</v>
      </c>
      <c r="AC74" s="240">
        <v>50</v>
      </c>
      <c r="AD74" s="240">
        <v>60</v>
      </c>
      <c r="AE74" s="240">
        <v>70</v>
      </c>
      <c r="AF74" s="240">
        <v>80</v>
      </c>
      <c r="AG74" s="240">
        <v>90</v>
      </c>
      <c r="AH74" t="s">
        <v>320</v>
      </c>
      <c r="AI74" s="255"/>
      <c r="AJ74" s="255"/>
      <c r="AK74" s="282">
        <v>8.5</v>
      </c>
      <c r="AL74">
        <v>9.8450000000000006</v>
      </c>
      <c r="AM74" s="255"/>
      <c r="AN74" s="255"/>
      <c r="AO74" s="255"/>
      <c r="AP74" s="284">
        <v>3.5</v>
      </c>
      <c r="AQ74">
        <v>25.26</v>
      </c>
      <c r="AR74" s="255"/>
      <c r="AS74" s="255"/>
      <c r="AT74">
        <v>11688.9</v>
      </c>
      <c r="AU74">
        <v>6552</v>
      </c>
      <c r="AV74">
        <v>9.57</v>
      </c>
      <c r="AW74" s="255"/>
      <c r="AX74">
        <v>12480.5</v>
      </c>
      <c r="AY74">
        <v>8081</v>
      </c>
      <c r="AZ74">
        <v>9.61</v>
      </c>
      <c r="BA74" s="255"/>
      <c r="BB74">
        <v>12482.4</v>
      </c>
      <c r="BC74">
        <v>8081</v>
      </c>
      <c r="BD74">
        <v>9.61</v>
      </c>
      <c r="BE74" s="255"/>
      <c r="BF74">
        <v>12480.6</v>
      </c>
      <c r="BG74">
        <v>8081</v>
      </c>
      <c r="BH74">
        <v>9.61</v>
      </c>
      <c r="BI74" s="255"/>
      <c r="BJ74">
        <v>12396.5</v>
      </c>
      <c r="BK74">
        <v>8061</v>
      </c>
      <c r="BL74">
        <v>9.94</v>
      </c>
      <c r="BM74" s="255"/>
      <c r="BN74" s="255"/>
      <c r="BO74" s="255"/>
      <c r="BP74" s="255"/>
      <c r="BQ74" s="255"/>
      <c r="BR74" s="255"/>
      <c r="BS74" s="255"/>
    </row>
    <row r="75" spans="1:71" x14ac:dyDescent="0.25">
      <c r="A75" s="255"/>
      <c r="B75" s="240" t="s">
        <v>175</v>
      </c>
      <c r="C75" s="243">
        <f>ROUND(C70*C66*C67,2)</f>
        <v>5.22</v>
      </c>
      <c r="D75" s="255"/>
      <c r="E75" s="240" t="s">
        <v>178</v>
      </c>
      <c r="F75" s="273">
        <f>E64</f>
        <v>4</v>
      </c>
      <c r="G75" s="271"/>
      <c r="H75" s="273">
        <f>E66</f>
        <v>6.6</v>
      </c>
      <c r="I75" s="243">
        <f>F75*H75</f>
        <v>26.4</v>
      </c>
      <c r="J75" s="255"/>
      <c r="K75" s="255"/>
      <c r="L75" s="255"/>
      <c r="M75" s="255"/>
      <c r="N75" s="255"/>
      <c r="O75" s="255"/>
      <c r="P75" s="255"/>
      <c r="Q75" s="255"/>
      <c r="R75" s="255"/>
      <c r="S75" s="282">
        <v>0</v>
      </c>
      <c r="T75">
        <v>0.77</v>
      </c>
      <c r="U75">
        <v>0.87</v>
      </c>
      <c r="V75">
        <v>0.95</v>
      </c>
      <c r="W75">
        <v>1</v>
      </c>
      <c r="X75">
        <v>1.02</v>
      </c>
      <c r="Y75">
        <v>1.01</v>
      </c>
      <c r="Z75">
        <v>0.97</v>
      </c>
      <c r="AA75">
        <v>0.89</v>
      </c>
      <c r="AB75">
        <v>0.85</v>
      </c>
      <c r="AC75">
        <v>0.8</v>
      </c>
      <c r="AD75">
        <v>0.67</v>
      </c>
      <c r="AE75">
        <v>0.53</v>
      </c>
      <c r="AF75">
        <v>0.37</v>
      </c>
      <c r="AG75">
        <v>0.2</v>
      </c>
      <c r="AH75" s="284">
        <v>90</v>
      </c>
      <c r="AI75" s="255"/>
      <c r="AJ75" s="255"/>
      <c r="AK75" s="282">
        <v>8.6</v>
      </c>
      <c r="AL75">
        <v>9.8140000000000001</v>
      </c>
      <c r="AM75" s="255"/>
      <c r="AN75" s="255"/>
      <c r="AO75" s="255"/>
      <c r="AP75" s="284">
        <v>3.6</v>
      </c>
      <c r="AQ75">
        <v>24.7</v>
      </c>
      <c r="AR75" s="255"/>
      <c r="AS75" s="255"/>
      <c r="AT75">
        <v>11603.1</v>
      </c>
      <c r="AU75">
        <v>7126</v>
      </c>
      <c r="AV75">
        <v>9.51</v>
      </c>
      <c r="AW75" s="255"/>
      <c r="AX75">
        <v>12384</v>
      </c>
      <c r="AY75">
        <v>8784</v>
      </c>
      <c r="AZ75">
        <v>9.5399999999999991</v>
      </c>
      <c r="BA75" s="255"/>
      <c r="BB75">
        <v>12385.8</v>
      </c>
      <c r="BC75">
        <v>8784</v>
      </c>
      <c r="BD75">
        <v>9.5399999999999991</v>
      </c>
      <c r="BE75" s="255"/>
      <c r="BF75">
        <v>12384</v>
      </c>
      <c r="BG75">
        <v>8784</v>
      </c>
      <c r="BH75">
        <v>9.5399999999999991</v>
      </c>
      <c r="BI75" s="255"/>
      <c r="BJ75">
        <v>12299.9</v>
      </c>
      <c r="BK75">
        <v>8761</v>
      </c>
      <c r="BL75">
        <v>9.8699999999999992</v>
      </c>
      <c r="BM75" s="255"/>
      <c r="BN75" s="255"/>
      <c r="BO75" s="255"/>
      <c r="BP75" s="255"/>
      <c r="BQ75" s="255"/>
      <c r="BR75" s="255"/>
      <c r="BS75" s="255"/>
    </row>
    <row r="76" spans="1:71" x14ac:dyDescent="0.25">
      <c r="A76" s="255"/>
      <c r="B76" s="240" t="s">
        <v>176</v>
      </c>
      <c r="C76" s="243">
        <f>ROUND(C71*C66,2)</f>
        <v>4.71</v>
      </c>
      <c r="D76" s="255"/>
      <c r="E76" s="240" t="s">
        <v>179</v>
      </c>
      <c r="F76" s="271"/>
      <c r="G76" s="273">
        <f>E65</f>
        <v>8</v>
      </c>
      <c r="H76" s="273">
        <f>IF(E66&lt;2,E66,2)</f>
        <v>2</v>
      </c>
      <c r="I76" s="243">
        <f>G76*H76</f>
        <v>16</v>
      </c>
      <c r="J76" s="255"/>
      <c r="K76" s="255"/>
      <c r="L76" s="255"/>
      <c r="M76" s="255"/>
      <c r="N76" s="255"/>
      <c r="O76" s="255"/>
      <c r="P76" s="255"/>
      <c r="Q76" s="255"/>
      <c r="R76" s="255"/>
      <c r="S76" s="282">
        <v>10</v>
      </c>
      <c r="T76">
        <v>0.75</v>
      </c>
      <c r="U76">
        <v>0.86</v>
      </c>
      <c r="V76">
        <v>0.94</v>
      </c>
      <c r="W76">
        <v>0.98</v>
      </c>
      <c r="X76">
        <v>1</v>
      </c>
      <c r="Y76">
        <v>0.99</v>
      </c>
      <c r="Z76">
        <v>0.95</v>
      </c>
      <c r="AA76">
        <v>0.88</v>
      </c>
      <c r="AB76">
        <v>0.84</v>
      </c>
      <c r="AC76">
        <v>0.79</v>
      </c>
      <c r="AD76">
        <v>0.67</v>
      </c>
      <c r="AE76">
        <v>0.52</v>
      </c>
      <c r="AF76">
        <v>0.37</v>
      </c>
      <c r="AG76">
        <v>0.2</v>
      </c>
      <c r="AH76" s="284">
        <v>80</v>
      </c>
      <c r="AI76" s="255"/>
      <c r="AJ76" s="255"/>
      <c r="AK76" s="282">
        <v>8.6999999999999993</v>
      </c>
      <c r="AL76">
        <v>9.782</v>
      </c>
      <c r="AM76" s="255"/>
      <c r="AN76" s="255"/>
      <c r="AO76" s="255"/>
      <c r="AP76" s="284">
        <v>3.7</v>
      </c>
      <c r="AQ76">
        <v>24.17</v>
      </c>
      <c r="AR76" s="255"/>
      <c r="AS76" s="255"/>
      <c r="AT76">
        <v>11516.7</v>
      </c>
      <c r="AU76">
        <v>7678</v>
      </c>
      <c r="AV76">
        <v>9.4499999999999993</v>
      </c>
      <c r="AW76" s="255"/>
      <c r="AX76">
        <v>12287.4</v>
      </c>
      <c r="AY76">
        <v>9458</v>
      </c>
      <c r="AZ76">
        <v>9.48</v>
      </c>
      <c r="BA76" s="255"/>
      <c r="BB76">
        <v>12289.2</v>
      </c>
      <c r="BC76">
        <v>9458</v>
      </c>
      <c r="BD76">
        <v>9.48</v>
      </c>
      <c r="BE76" s="255"/>
      <c r="BF76">
        <v>12287.5</v>
      </c>
      <c r="BG76">
        <v>9458</v>
      </c>
      <c r="BH76">
        <v>9.48</v>
      </c>
      <c r="BI76" s="255"/>
      <c r="BJ76">
        <v>12203.4</v>
      </c>
      <c r="BK76">
        <v>9430</v>
      </c>
      <c r="BL76">
        <v>9.81</v>
      </c>
      <c r="BM76" s="255"/>
      <c r="BN76" s="255"/>
      <c r="BO76" s="255"/>
      <c r="BP76" s="255"/>
      <c r="BQ76" s="255"/>
      <c r="BR76" s="255"/>
      <c r="BS76" s="255"/>
    </row>
    <row r="77" spans="1:71" x14ac:dyDescent="0.25">
      <c r="A77" s="255"/>
      <c r="B77" s="255"/>
      <c r="C77" s="255"/>
      <c r="D77" s="255"/>
      <c r="E77" s="240" t="s">
        <v>180</v>
      </c>
      <c r="F77" s="273">
        <f>E64</f>
        <v>4</v>
      </c>
      <c r="G77" s="271"/>
      <c r="H77" s="273">
        <f>IF(E66&lt;2,E66,2)</f>
        <v>2</v>
      </c>
      <c r="I77" s="243">
        <f>F77*H77</f>
        <v>8</v>
      </c>
      <c r="J77" s="255"/>
      <c r="K77" s="255"/>
      <c r="L77" s="255"/>
      <c r="M77" s="255"/>
      <c r="N77" s="255"/>
      <c r="O77" s="255"/>
      <c r="P77" s="255"/>
      <c r="Q77" s="255"/>
      <c r="R77" s="255"/>
      <c r="S77" s="282">
        <v>20</v>
      </c>
      <c r="T77">
        <v>0.71</v>
      </c>
      <c r="U77">
        <v>0.81</v>
      </c>
      <c r="V77">
        <v>0.89</v>
      </c>
      <c r="W77">
        <v>0.94</v>
      </c>
      <c r="X77">
        <v>0.96</v>
      </c>
      <c r="Y77">
        <v>0.95</v>
      </c>
      <c r="Z77">
        <v>0.91</v>
      </c>
      <c r="AA77">
        <v>0.85</v>
      </c>
      <c r="AB77">
        <v>0.81</v>
      </c>
      <c r="AC77">
        <v>0.76</v>
      </c>
      <c r="AD77">
        <v>0.64</v>
      </c>
      <c r="AE77">
        <v>0.51</v>
      </c>
      <c r="AF77">
        <v>0.36</v>
      </c>
      <c r="AG77">
        <v>0.2</v>
      </c>
      <c r="AH77" s="284">
        <v>70</v>
      </c>
      <c r="AI77" s="255"/>
      <c r="AJ77" s="255"/>
      <c r="AK77" s="282">
        <v>8.8000000000000007</v>
      </c>
      <c r="AL77">
        <v>9.7490000000000006</v>
      </c>
      <c r="AM77" s="255"/>
      <c r="AN77" s="255"/>
      <c r="AO77" s="255"/>
      <c r="AP77" s="284">
        <v>3.8</v>
      </c>
      <c r="AQ77">
        <v>23.67</v>
      </c>
      <c r="AR77" s="255"/>
      <c r="AS77" s="255"/>
      <c r="AT77">
        <v>11426.9</v>
      </c>
      <c r="AU77">
        <v>8240</v>
      </c>
      <c r="AV77">
        <v>9.3800000000000008</v>
      </c>
      <c r="AW77" s="255"/>
      <c r="AX77">
        <v>12185.6</v>
      </c>
      <c r="AY77">
        <v>10163</v>
      </c>
      <c r="AZ77">
        <v>9.41</v>
      </c>
      <c r="BA77" s="255"/>
      <c r="BB77">
        <v>12187.4</v>
      </c>
      <c r="BC77">
        <v>10163</v>
      </c>
      <c r="BD77">
        <v>9.41</v>
      </c>
      <c r="BE77" s="255"/>
      <c r="BF77">
        <v>12185.6</v>
      </c>
      <c r="BG77">
        <v>10163</v>
      </c>
      <c r="BH77">
        <v>9.41</v>
      </c>
      <c r="BI77" s="255"/>
      <c r="BJ77">
        <v>12102.1</v>
      </c>
      <c r="BK77">
        <v>10125</v>
      </c>
      <c r="BL77">
        <v>9.75</v>
      </c>
      <c r="BM77" s="255"/>
      <c r="BN77" s="255"/>
      <c r="BO77" s="255"/>
      <c r="BP77" s="255"/>
      <c r="BQ77" s="255"/>
      <c r="BR77" s="255"/>
      <c r="BS77" s="255"/>
    </row>
    <row r="78" spans="1:71" x14ac:dyDescent="0.25">
      <c r="A78" s="255"/>
      <c r="B78" s="240" t="s">
        <v>188</v>
      </c>
      <c r="C78" s="240"/>
      <c r="D78" s="255"/>
      <c r="E78" s="255"/>
      <c r="F78" s="255"/>
      <c r="G78" s="255"/>
      <c r="H78" s="255"/>
      <c r="I78" s="255"/>
      <c r="J78" s="255"/>
      <c r="K78" s="255"/>
      <c r="L78" s="255"/>
      <c r="M78" s="255"/>
      <c r="N78" s="255"/>
      <c r="O78" s="255"/>
      <c r="P78" s="255"/>
      <c r="Q78" s="255"/>
      <c r="R78" s="255"/>
      <c r="S78" s="282">
        <v>30</v>
      </c>
      <c r="T78">
        <v>0.65</v>
      </c>
      <c r="U78">
        <v>0.75</v>
      </c>
      <c r="V78">
        <v>0.82</v>
      </c>
      <c r="W78">
        <v>0.87</v>
      </c>
      <c r="X78">
        <v>0.89</v>
      </c>
      <c r="Y78">
        <v>0.88</v>
      </c>
      <c r="Z78">
        <v>0.85</v>
      </c>
      <c r="AA78">
        <v>0.79</v>
      </c>
      <c r="AB78">
        <v>0.75</v>
      </c>
      <c r="AC78">
        <v>0.71</v>
      </c>
      <c r="AD78">
        <v>0.61</v>
      </c>
      <c r="AE78">
        <v>0.48</v>
      </c>
      <c r="AF78">
        <v>0.35</v>
      </c>
      <c r="AG78">
        <v>0.2</v>
      </c>
      <c r="AH78" s="284">
        <v>60</v>
      </c>
      <c r="AI78" s="255"/>
      <c r="AJ78" s="255"/>
      <c r="AK78" s="282">
        <v>8.9</v>
      </c>
      <c r="AL78">
        <v>9.7170000000000005</v>
      </c>
      <c r="AM78" s="255"/>
      <c r="AN78" s="255"/>
      <c r="AO78" s="255"/>
      <c r="AP78" s="284">
        <v>3.9</v>
      </c>
      <c r="AQ78">
        <v>23.2</v>
      </c>
      <c r="AR78" s="255"/>
      <c r="AS78" s="255"/>
      <c r="AT78">
        <v>11333</v>
      </c>
      <c r="AU78">
        <v>8819</v>
      </c>
      <c r="AV78">
        <v>9.31</v>
      </c>
      <c r="AW78" s="255"/>
      <c r="AX78">
        <v>12078.3</v>
      </c>
      <c r="AY78">
        <v>10895</v>
      </c>
      <c r="AZ78">
        <v>9.34</v>
      </c>
      <c r="BA78" s="255"/>
      <c r="BB78">
        <v>12080.1</v>
      </c>
      <c r="BC78">
        <v>10895</v>
      </c>
      <c r="BD78">
        <v>9.34</v>
      </c>
      <c r="BE78" s="255"/>
      <c r="BF78">
        <v>12078.4</v>
      </c>
      <c r="BG78">
        <v>10895</v>
      </c>
      <c r="BH78">
        <v>9.34</v>
      </c>
      <c r="BI78" s="255"/>
      <c r="BJ78">
        <v>11996</v>
      </c>
      <c r="BK78">
        <v>10841</v>
      </c>
      <c r="BL78">
        <v>9.68</v>
      </c>
      <c r="BM78" s="255"/>
      <c r="BN78" s="255"/>
      <c r="BO78" s="255"/>
      <c r="BP78" s="255"/>
      <c r="BQ78" s="255"/>
      <c r="BR78" s="255"/>
      <c r="BS78" s="255"/>
    </row>
    <row r="79" spans="1:71" x14ac:dyDescent="0.25">
      <c r="A79" s="255"/>
      <c r="B79" s="255"/>
      <c r="C79" s="240" t="s">
        <v>45</v>
      </c>
      <c r="D79" s="240" t="s">
        <v>192</v>
      </c>
      <c r="E79" s="240" t="s">
        <v>193</v>
      </c>
      <c r="F79" s="240" t="s">
        <v>194</v>
      </c>
      <c r="G79" s="240" t="s">
        <v>195</v>
      </c>
      <c r="H79" s="255"/>
      <c r="I79" s="255"/>
      <c r="J79" s="255"/>
      <c r="K79" s="255"/>
      <c r="L79" s="255"/>
      <c r="M79" s="255"/>
      <c r="N79" s="255"/>
      <c r="O79" s="255"/>
      <c r="P79" s="255"/>
      <c r="Q79" s="255"/>
      <c r="R79" s="255"/>
      <c r="S79" s="282">
        <v>40</v>
      </c>
      <c r="T79">
        <v>0.56000000000000005</v>
      </c>
      <c r="U79">
        <v>0.65</v>
      </c>
      <c r="V79">
        <v>0.72</v>
      </c>
      <c r="W79">
        <v>0.77</v>
      </c>
      <c r="X79">
        <v>0.79</v>
      </c>
      <c r="Y79">
        <v>0.76</v>
      </c>
      <c r="Z79">
        <v>0.72</v>
      </c>
      <c r="AA79">
        <v>0.68</v>
      </c>
      <c r="AB79">
        <v>0.65</v>
      </c>
      <c r="AC79">
        <v>0.65</v>
      </c>
      <c r="AD79">
        <v>0.56000000000000005</v>
      </c>
      <c r="AE79">
        <v>0.45</v>
      </c>
      <c r="AF79">
        <v>0.33</v>
      </c>
      <c r="AG79">
        <v>0.2</v>
      </c>
      <c r="AH79" s="284">
        <v>50</v>
      </c>
      <c r="AI79" s="255"/>
      <c r="AJ79" s="255"/>
      <c r="AK79" s="282">
        <v>9</v>
      </c>
      <c r="AL79">
        <v>9.6850000000000005</v>
      </c>
      <c r="AM79" s="255"/>
      <c r="AN79" s="255"/>
      <c r="AO79" s="255"/>
      <c r="AP79" s="284">
        <v>4</v>
      </c>
      <c r="AQ79">
        <v>22.73</v>
      </c>
      <c r="AR79" s="255"/>
      <c r="AS79" s="255"/>
      <c r="AT79">
        <v>11235.7</v>
      </c>
      <c r="AU79">
        <v>9404</v>
      </c>
      <c r="AV79">
        <v>9.25</v>
      </c>
      <c r="AW79" s="255"/>
      <c r="AX79">
        <v>11971</v>
      </c>
      <c r="AY79">
        <v>11605</v>
      </c>
      <c r="AZ79">
        <v>9.27</v>
      </c>
      <c r="BA79" s="255"/>
      <c r="BB79">
        <v>11972.8</v>
      </c>
      <c r="BC79">
        <v>11605</v>
      </c>
      <c r="BD79">
        <v>9.27</v>
      </c>
      <c r="BE79" s="255"/>
      <c r="BF79">
        <v>11971.1</v>
      </c>
      <c r="BG79">
        <v>11605</v>
      </c>
      <c r="BH79">
        <v>9.27</v>
      </c>
      <c r="BI79" s="255"/>
      <c r="BJ79">
        <v>11889.9</v>
      </c>
      <c r="BK79">
        <v>11535</v>
      </c>
      <c r="BL79">
        <v>9.6199999999999992</v>
      </c>
      <c r="BM79" s="255"/>
      <c r="BN79" s="255"/>
      <c r="BO79" s="255"/>
      <c r="BP79" s="255"/>
      <c r="BQ79" s="255"/>
      <c r="BR79" s="255"/>
      <c r="BS79" s="255"/>
    </row>
    <row r="80" spans="1:71" x14ac:dyDescent="0.25">
      <c r="A80" s="255"/>
      <c r="B80" s="240" t="s">
        <v>189</v>
      </c>
      <c r="C80" s="273">
        <f>E$67</f>
        <v>290</v>
      </c>
      <c r="D80" s="274">
        <f>C74</f>
        <v>2.2000000000000002</v>
      </c>
      <c r="E80" s="270">
        <f>I74</f>
        <v>52.8</v>
      </c>
      <c r="F80" s="270">
        <f>I76</f>
        <v>16</v>
      </c>
      <c r="G80" s="243">
        <f>C80*D80+E80+F80</f>
        <v>706.8</v>
      </c>
      <c r="H80" s="255"/>
      <c r="I80" s="255"/>
      <c r="J80" s="255"/>
      <c r="K80" s="255"/>
      <c r="L80" s="255"/>
      <c r="M80" s="255"/>
      <c r="N80" s="255"/>
      <c r="O80" s="255"/>
      <c r="P80" s="255"/>
      <c r="Q80" s="255"/>
      <c r="R80" s="255"/>
      <c r="S80" s="282">
        <v>50</v>
      </c>
      <c r="T80">
        <v>0.46</v>
      </c>
      <c r="U80">
        <v>0.54</v>
      </c>
      <c r="V80">
        <v>0.6</v>
      </c>
      <c r="W80">
        <v>0.64</v>
      </c>
      <c r="X80">
        <v>0.67</v>
      </c>
      <c r="Y80">
        <v>0.67</v>
      </c>
      <c r="Z80">
        <v>0.66</v>
      </c>
      <c r="AA80">
        <v>0.62</v>
      </c>
      <c r="AB80">
        <v>0.6</v>
      </c>
      <c r="AC80">
        <v>0.56999999999999995</v>
      </c>
      <c r="AD80">
        <v>0.49</v>
      </c>
      <c r="AE80">
        <v>0.41</v>
      </c>
      <c r="AF80">
        <v>0.31</v>
      </c>
      <c r="AG80">
        <v>0.2</v>
      </c>
      <c r="AH80" s="284">
        <v>40</v>
      </c>
      <c r="AI80" s="255"/>
      <c r="AJ80" s="255"/>
      <c r="AK80" s="282">
        <v>9.1</v>
      </c>
      <c r="AL80">
        <v>9.6519999999999992</v>
      </c>
      <c r="AM80" s="255"/>
      <c r="AN80" s="255"/>
      <c r="AO80" s="255"/>
      <c r="AP80" s="284">
        <v>4.0999999999999996</v>
      </c>
      <c r="AQ80">
        <v>22.33</v>
      </c>
      <c r="AR80" s="255"/>
      <c r="AS80" s="255"/>
      <c r="AT80">
        <v>11133.3</v>
      </c>
      <c r="AU80">
        <v>10017</v>
      </c>
      <c r="AV80">
        <v>9.18</v>
      </c>
      <c r="AW80" s="255"/>
      <c r="AX80">
        <v>11863.7</v>
      </c>
      <c r="AY80">
        <v>12283</v>
      </c>
      <c r="AZ80">
        <v>9.1999999999999993</v>
      </c>
      <c r="BA80" s="255"/>
      <c r="BB80">
        <v>11865.6</v>
      </c>
      <c r="BC80">
        <v>12283</v>
      </c>
      <c r="BD80">
        <v>9.1999999999999993</v>
      </c>
      <c r="BE80" s="255"/>
      <c r="BF80">
        <v>11863.8</v>
      </c>
      <c r="BG80">
        <v>12283</v>
      </c>
      <c r="BH80">
        <v>9.1999999999999993</v>
      </c>
      <c r="BI80" s="255"/>
      <c r="BJ80">
        <v>11783.8</v>
      </c>
      <c r="BK80">
        <v>12196</v>
      </c>
      <c r="BL80">
        <v>9.5500000000000007</v>
      </c>
      <c r="BM80" s="255"/>
      <c r="BN80" s="255"/>
      <c r="BO80" s="255"/>
      <c r="BP80" s="255"/>
      <c r="BQ80" s="255"/>
      <c r="BR80" s="255"/>
      <c r="BS80" s="255"/>
    </row>
    <row r="81" spans="1:71" x14ac:dyDescent="0.25">
      <c r="A81" s="255"/>
      <c r="B81" s="240" t="s">
        <v>190</v>
      </c>
      <c r="C81" s="273">
        <f>E$67</f>
        <v>290</v>
      </c>
      <c r="D81" s="274">
        <f>C75</f>
        <v>5.22</v>
      </c>
      <c r="E81" s="270">
        <f>I75</f>
        <v>26.4</v>
      </c>
      <c r="F81" s="270">
        <f>I77</f>
        <v>8</v>
      </c>
      <c r="G81" s="243">
        <f>C81*D81+E81+F81</f>
        <v>1548.2</v>
      </c>
      <c r="H81" s="255"/>
      <c r="I81" s="255"/>
      <c r="J81" s="255"/>
      <c r="K81" s="255"/>
      <c r="L81" s="255"/>
      <c r="M81" s="255"/>
      <c r="N81" s="255"/>
      <c r="O81" s="255"/>
      <c r="P81" s="255"/>
      <c r="Q81" s="255"/>
      <c r="R81" s="255"/>
      <c r="S81" s="282">
        <v>60</v>
      </c>
      <c r="T81">
        <v>0.33</v>
      </c>
      <c r="U81">
        <v>0.4</v>
      </c>
      <c r="V81">
        <v>0.46</v>
      </c>
      <c r="W81">
        <v>0.5</v>
      </c>
      <c r="X81">
        <v>0.53</v>
      </c>
      <c r="Y81">
        <v>0.54</v>
      </c>
      <c r="Z81">
        <v>0.53</v>
      </c>
      <c r="AA81">
        <v>0.51</v>
      </c>
      <c r="AB81">
        <v>0.47</v>
      </c>
      <c r="AC81">
        <v>0.47</v>
      </c>
      <c r="AD81">
        <v>0.42</v>
      </c>
      <c r="AE81">
        <v>0.36</v>
      </c>
      <c r="AF81">
        <v>0.28000000000000003</v>
      </c>
      <c r="AG81">
        <v>0.2</v>
      </c>
      <c r="AH81" s="284">
        <v>30</v>
      </c>
      <c r="AI81" s="255"/>
      <c r="AJ81" s="255"/>
      <c r="AK81" s="282">
        <v>9.1999999999999993</v>
      </c>
      <c r="AL81">
        <v>9.6199999999999992</v>
      </c>
      <c r="AM81" s="255"/>
      <c r="AN81" s="255"/>
      <c r="AO81" s="255"/>
      <c r="AP81" s="284">
        <v>4.2</v>
      </c>
      <c r="AQ81">
        <v>21.93</v>
      </c>
      <c r="AR81" s="255"/>
      <c r="AS81" s="255"/>
      <c r="AT81">
        <v>11027.5</v>
      </c>
      <c r="AU81">
        <v>10634</v>
      </c>
      <c r="AV81">
        <v>9.1199999999999992</v>
      </c>
      <c r="AW81" s="255"/>
      <c r="AX81">
        <v>11756.5</v>
      </c>
      <c r="AY81">
        <v>12929</v>
      </c>
      <c r="AZ81">
        <v>9.1300000000000008</v>
      </c>
      <c r="BA81" s="255"/>
      <c r="BB81">
        <v>11758.3</v>
      </c>
      <c r="BC81">
        <v>12929</v>
      </c>
      <c r="BD81">
        <v>9.1300000000000008</v>
      </c>
      <c r="BE81" s="255"/>
      <c r="BF81">
        <v>11756.5</v>
      </c>
      <c r="BG81">
        <v>12929</v>
      </c>
      <c r="BH81">
        <v>9.1300000000000008</v>
      </c>
      <c r="BI81" s="255"/>
      <c r="BJ81">
        <v>11677.7</v>
      </c>
      <c r="BK81">
        <v>12825</v>
      </c>
      <c r="BL81">
        <v>9.48</v>
      </c>
      <c r="BM81" s="255"/>
      <c r="BN81" s="255"/>
      <c r="BO81" s="255"/>
      <c r="BP81" s="255"/>
      <c r="BQ81" s="255"/>
      <c r="BR81" s="255"/>
      <c r="BS81" s="255"/>
    </row>
    <row r="82" spans="1:71" x14ac:dyDescent="0.25">
      <c r="A82" s="255"/>
      <c r="B82" s="240" t="s">
        <v>191</v>
      </c>
      <c r="C82" s="273">
        <f>E$67</f>
        <v>290</v>
      </c>
      <c r="D82" s="274">
        <f>C76</f>
        <v>4.71</v>
      </c>
      <c r="E82" s="271"/>
      <c r="F82" s="271"/>
      <c r="G82" s="243">
        <f>C82*D82</f>
        <v>1365.9</v>
      </c>
      <c r="H82" s="255"/>
      <c r="I82" s="255"/>
      <c r="J82" s="255"/>
      <c r="K82" s="255"/>
      <c r="L82" s="255"/>
      <c r="M82" s="255"/>
      <c r="N82" s="255"/>
      <c r="O82" s="255"/>
      <c r="P82" s="255"/>
      <c r="Q82" s="255"/>
      <c r="R82" s="255"/>
      <c r="S82" s="282">
        <v>70</v>
      </c>
      <c r="T82">
        <v>0.2</v>
      </c>
      <c r="U82">
        <v>0.25</v>
      </c>
      <c r="V82">
        <v>0.3</v>
      </c>
      <c r="W82">
        <v>0.34</v>
      </c>
      <c r="X82">
        <v>0.37</v>
      </c>
      <c r="Y82">
        <v>0.39</v>
      </c>
      <c r="Z82">
        <v>0.4</v>
      </c>
      <c r="AA82">
        <v>0.39</v>
      </c>
      <c r="AB82">
        <v>0.38</v>
      </c>
      <c r="AC82">
        <v>0.37</v>
      </c>
      <c r="AD82">
        <v>0.34</v>
      </c>
      <c r="AE82">
        <v>0.3</v>
      </c>
      <c r="AF82">
        <v>0.26</v>
      </c>
      <c r="AG82">
        <v>0.2</v>
      </c>
      <c r="AH82" s="284">
        <v>20</v>
      </c>
      <c r="AI82" s="255"/>
      <c r="AJ82" s="255"/>
      <c r="AK82" s="282">
        <v>9.3000000000000007</v>
      </c>
      <c r="AL82">
        <v>9.5879999999999992</v>
      </c>
      <c r="AM82" s="255"/>
      <c r="AN82" s="255"/>
      <c r="AO82" s="255"/>
      <c r="AP82" s="284">
        <v>4.3</v>
      </c>
      <c r="AQ82">
        <v>21.55</v>
      </c>
      <c r="AR82" s="255"/>
      <c r="AS82" s="255"/>
      <c r="AT82">
        <v>10917.6</v>
      </c>
      <c r="AU82">
        <v>11262</v>
      </c>
      <c r="AV82">
        <v>9.0500000000000007</v>
      </c>
      <c r="AW82" s="255"/>
      <c r="AX82">
        <v>11649.2</v>
      </c>
      <c r="AY82">
        <v>13544</v>
      </c>
      <c r="AZ82">
        <v>9.06</v>
      </c>
      <c r="BA82" s="255"/>
      <c r="BB82">
        <v>11651</v>
      </c>
      <c r="BC82">
        <v>13544</v>
      </c>
      <c r="BD82">
        <v>9.07</v>
      </c>
      <c r="BE82" s="255"/>
      <c r="BF82">
        <v>11649.2</v>
      </c>
      <c r="BG82">
        <v>13544</v>
      </c>
      <c r="BH82">
        <v>9.06</v>
      </c>
      <c r="BI82" s="255"/>
      <c r="BJ82">
        <v>11564.8</v>
      </c>
      <c r="BK82">
        <v>13504</v>
      </c>
      <c r="BL82">
        <v>9.41</v>
      </c>
      <c r="BM82" s="255"/>
      <c r="BN82" s="255"/>
      <c r="BO82" s="255"/>
      <c r="BP82" s="255"/>
      <c r="BQ82" s="255"/>
      <c r="BR82" s="255"/>
      <c r="BS82" s="255"/>
    </row>
    <row r="83" spans="1:71" x14ac:dyDescent="0.25">
      <c r="A83" s="255"/>
      <c r="B83" s="255"/>
      <c r="C83" s="264" t="s">
        <v>385</v>
      </c>
      <c r="D83" s="255"/>
      <c r="E83" s="255"/>
      <c r="F83" s="255"/>
      <c r="G83" s="255"/>
      <c r="H83" s="255"/>
      <c r="I83" s="255"/>
      <c r="J83" s="255"/>
      <c r="K83" s="286"/>
      <c r="L83" s="255"/>
      <c r="M83" s="255"/>
      <c r="N83" s="255"/>
      <c r="O83" s="255"/>
      <c r="P83" s="255"/>
      <c r="Q83" s="255"/>
      <c r="R83" s="255"/>
      <c r="S83" s="282">
        <v>80</v>
      </c>
      <c r="T83">
        <v>0.05</v>
      </c>
      <c r="U83">
        <v>0.09</v>
      </c>
      <c r="V83">
        <v>0.14000000000000001</v>
      </c>
      <c r="W83">
        <v>0.17</v>
      </c>
      <c r="X83">
        <v>0.21</v>
      </c>
      <c r="Y83">
        <v>0.23</v>
      </c>
      <c r="Z83">
        <v>0.25</v>
      </c>
      <c r="AA83">
        <v>0.26</v>
      </c>
      <c r="AB83">
        <v>0.26</v>
      </c>
      <c r="AC83">
        <v>0.26</v>
      </c>
      <c r="AD83">
        <v>0.26</v>
      </c>
      <c r="AE83">
        <v>0.25</v>
      </c>
      <c r="AF83">
        <v>0.23</v>
      </c>
      <c r="AG83">
        <v>0.2</v>
      </c>
      <c r="AH83" s="284">
        <v>10</v>
      </c>
      <c r="AI83" s="255"/>
      <c r="AJ83" s="255"/>
      <c r="AK83" s="282">
        <v>9.4</v>
      </c>
      <c r="AL83">
        <v>9.5559999999999992</v>
      </c>
      <c r="AM83" s="255"/>
      <c r="AN83" s="255"/>
      <c r="AO83" s="255"/>
      <c r="AP83" s="284">
        <v>4.4000000000000004</v>
      </c>
      <c r="AQ83">
        <v>21.19</v>
      </c>
      <c r="AR83" s="255"/>
      <c r="AS83" s="255"/>
      <c r="AT83">
        <v>10802.9</v>
      </c>
      <c r="AU83">
        <v>11908</v>
      </c>
      <c r="AV83">
        <v>8.9700000000000006</v>
      </c>
      <c r="AW83" s="255"/>
      <c r="AX83">
        <v>11541.9</v>
      </c>
      <c r="AY83">
        <v>14130</v>
      </c>
      <c r="AZ83">
        <v>9</v>
      </c>
      <c r="BA83" s="255"/>
      <c r="BB83">
        <v>11543.7</v>
      </c>
      <c r="BC83">
        <v>14130</v>
      </c>
      <c r="BD83">
        <v>9</v>
      </c>
      <c r="BE83" s="255"/>
      <c r="BF83">
        <v>11542</v>
      </c>
      <c r="BG83">
        <v>14130</v>
      </c>
      <c r="BH83">
        <v>9</v>
      </c>
      <c r="BI83" s="255"/>
      <c r="BJ83">
        <v>11442.1</v>
      </c>
      <c r="BK83">
        <v>14281</v>
      </c>
      <c r="BL83">
        <v>9.34</v>
      </c>
      <c r="BM83" s="255"/>
      <c r="BN83" s="255"/>
      <c r="BO83" s="255"/>
      <c r="BP83" s="255"/>
      <c r="BQ83" s="255"/>
      <c r="BR83" s="255"/>
      <c r="BS83" s="255"/>
    </row>
    <row r="84" spans="1:71" x14ac:dyDescent="0.25">
      <c r="A84" s="255"/>
      <c r="B84" s="240" t="s">
        <v>196</v>
      </c>
      <c r="C84" s="255"/>
      <c r="D84" s="255"/>
      <c r="E84" s="255"/>
      <c r="F84" s="255"/>
      <c r="G84" s="255"/>
      <c r="H84" s="255"/>
      <c r="I84" s="255"/>
      <c r="J84" s="255"/>
      <c r="K84" s="255"/>
      <c r="L84" s="255"/>
      <c r="M84" s="255"/>
      <c r="N84" s="255"/>
      <c r="O84" s="255"/>
      <c r="P84" s="255"/>
      <c r="Q84" s="255"/>
      <c r="R84" s="255"/>
      <c r="S84" s="282">
        <v>90</v>
      </c>
      <c r="T84">
        <v>-0.1</v>
      </c>
      <c r="U84">
        <v>-7.0000000000000007E-2</v>
      </c>
      <c r="V84">
        <v>-0.03</v>
      </c>
      <c r="W84">
        <v>0</v>
      </c>
      <c r="X84">
        <v>0.03</v>
      </c>
      <c r="Y84">
        <v>7.0000000000000007E-2</v>
      </c>
      <c r="Z84">
        <v>0.1</v>
      </c>
      <c r="AA84">
        <v>0.13</v>
      </c>
      <c r="AB84">
        <v>0.14000000000000001</v>
      </c>
      <c r="AC84">
        <v>0.15</v>
      </c>
      <c r="AD84">
        <v>0.17</v>
      </c>
      <c r="AE84">
        <v>0.19</v>
      </c>
      <c r="AF84">
        <v>0.2</v>
      </c>
      <c r="AG84">
        <v>0.2</v>
      </c>
      <c r="AH84" s="284">
        <v>0</v>
      </c>
      <c r="AI84" s="255"/>
      <c r="AJ84" s="255"/>
      <c r="AK84" s="282">
        <v>9.5</v>
      </c>
      <c r="AL84">
        <v>9.5239999999999991</v>
      </c>
      <c r="AM84" s="255"/>
      <c r="AN84" s="255"/>
      <c r="AO84" s="255"/>
      <c r="AP84" s="284">
        <v>4.5</v>
      </c>
      <c r="AQ84">
        <v>20.84</v>
      </c>
      <c r="AR84" s="255"/>
      <c r="AS84" s="255"/>
      <c r="AT84">
        <v>10685.1</v>
      </c>
      <c r="AU84">
        <v>12548</v>
      </c>
      <c r="AV84">
        <v>8.9</v>
      </c>
      <c r="AW84" s="255"/>
      <c r="AX84">
        <v>11427.6</v>
      </c>
      <c r="AY84">
        <v>14778</v>
      </c>
      <c r="AZ84">
        <v>8.93</v>
      </c>
      <c r="BA84" s="255"/>
      <c r="BB84">
        <v>11429.4</v>
      </c>
      <c r="BC84">
        <v>14778</v>
      </c>
      <c r="BD84">
        <v>8.93</v>
      </c>
      <c r="BE84" s="255"/>
      <c r="BF84">
        <v>11427.7</v>
      </c>
      <c r="BG84">
        <v>14778</v>
      </c>
      <c r="BH84">
        <v>8.93</v>
      </c>
      <c r="BI84" s="255"/>
      <c r="BJ84">
        <v>11315.8</v>
      </c>
      <c r="BK84">
        <v>15064</v>
      </c>
      <c r="BL84">
        <v>9.27</v>
      </c>
      <c r="BM84" s="255"/>
      <c r="BN84" s="255"/>
      <c r="BO84" s="255"/>
      <c r="BP84" s="255"/>
      <c r="BQ84" s="255"/>
      <c r="BR84" s="255"/>
      <c r="BS84" s="255"/>
    </row>
    <row r="85" spans="1:71" x14ac:dyDescent="0.25">
      <c r="A85" s="255"/>
      <c r="B85" s="240" t="s">
        <v>186</v>
      </c>
      <c r="C85" s="240" t="s">
        <v>194</v>
      </c>
      <c r="D85" s="240" t="s">
        <v>209</v>
      </c>
      <c r="E85" s="240" t="s">
        <v>210</v>
      </c>
      <c r="F85" s="237" t="s">
        <v>211</v>
      </c>
      <c r="G85" s="237" t="s">
        <v>212</v>
      </c>
      <c r="H85" s="239" t="s">
        <v>213</v>
      </c>
      <c r="I85" s="239" t="s">
        <v>214</v>
      </c>
      <c r="J85" s="240"/>
      <c r="K85" s="239" t="s">
        <v>215</v>
      </c>
      <c r="L85" s="239" t="s">
        <v>216</v>
      </c>
      <c r="M85" s="239" t="s">
        <v>217</v>
      </c>
      <c r="N85" s="239" t="s">
        <v>218</v>
      </c>
      <c r="O85" s="255"/>
      <c r="P85" s="255"/>
      <c r="Q85" s="255"/>
      <c r="R85" s="255"/>
      <c r="S85" s="255"/>
      <c r="T85" s="255"/>
      <c r="U85" s="255"/>
      <c r="V85" s="255"/>
      <c r="W85" s="255"/>
      <c r="X85" s="255"/>
      <c r="Y85" s="255"/>
      <c r="Z85" s="255"/>
      <c r="AA85" s="255"/>
      <c r="AB85" s="255"/>
      <c r="AC85" s="255"/>
      <c r="AD85" s="255"/>
      <c r="AE85" s="255"/>
      <c r="AF85" s="255"/>
      <c r="AG85" s="255"/>
      <c r="AH85" s="255"/>
      <c r="AI85" s="255"/>
      <c r="AJ85" s="255"/>
      <c r="AK85" s="282">
        <v>9.6</v>
      </c>
      <c r="AL85">
        <v>9.4920000000000009</v>
      </c>
      <c r="AM85" s="255"/>
      <c r="AN85" s="255"/>
      <c r="AO85" s="255"/>
      <c r="AP85" s="284">
        <v>4.5999999999999996</v>
      </c>
      <c r="AQ85">
        <v>20.52</v>
      </c>
      <c r="AR85" s="255"/>
      <c r="AS85" s="255"/>
      <c r="AT85">
        <v>10564.3</v>
      </c>
      <c r="AU85">
        <v>13180</v>
      </c>
      <c r="AV85">
        <v>8.82</v>
      </c>
      <c r="AW85" s="255"/>
      <c r="AX85">
        <v>11306.4</v>
      </c>
      <c r="AY85">
        <v>15488</v>
      </c>
      <c r="AZ85">
        <v>8.85</v>
      </c>
      <c r="BA85" s="255"/>
      <c r="BB85">
        <v>11308.2</v>
      </c>
      <c r="BC85">
        <v>15488</v>
      </c>
      <c r="BD85">
        <v>8.85</v>
      </c>
      <c r="BE85" s="255"/>
      <c r="BF85">
        <v>11306.4</v>
      </c>
      <c r="BG85">
        <v>15488</v>
      </c>
      <c r="BH85">
        <v>8.85</v>
      </c>
      <c r="BI85" s="255"/>
      <c r="BJ85">
        <v>11186</v>
      </c>
      <c r="BK85">
        <v>15855</v>
      </c>
      <c r="BL85">
        <v>9.19</v>
      </c>
      <c r="BM85" s="255"/>
      <c r="BN85" s="255"/>
      <c r="BO85" s="255"/>
      <c r="BP85" s="255"/>
      <c r="BQ85" s="255"/>
      <c r="BR85" s="255"/>
      <c r="BS85" s="255"/>
    </row>
    <row r="86" spans="1:71" x14ac:dyDescent="0.25">
      <c r="A86" s="269" t="s">
        <v>197</v>
      </c>
      <c r="B86" s="315">
        <v>176.58</v>
      </c>
      <c r="C86" s="272">
        <v>1.35</v>
      </c>
      <c r="D86" s="243">
        <f>TRUNC(B86/C86,2)</f>
        <v>130.80000000000001</v>
      </c>
      <c r="E86" s="315">
        <v>7.66</v>
      </c>
      <c r="F86" s="315">
        <v>50</v>
      </c>
      <c r="G86" s="315">
        <v>30</v>
      </c>
      <c r="H86" s="263" t="s">
        <v>405</v>
      </c>
      <c r="I86" s="330" cm="1">
        <f t="array" ref="I86">IF(OR(F86="",G86=""),"",
 (INDEX(CHOOSE(MATCH($E$68,{0.4;0.3;0.2;0.1;0},0),$T$49:$AG$58,$T$62:$AG$71,$T$75:$AG$84,$T$88:$AG$97,$T$101:$AG$110),
   MATCH(G86,$S$62:$S$71,1),
   MATCH(F86,$T$61:$AG$61,1))
 *(INDEX($T$61:$AG$61,MATCH(F86,$T$61:$AG$61,1)+1)-F86)
 *(INDEX($S$62:$S$71,MATCH(G86,$S$62:$S$71,1)+1)-G86)
+
 INDEX(CHOOSE(MATCH($E$68,{0.4;0.3;0.2;0.1;0},0),$T$49:$AG$58,$T$62:$AG$71,$T$75:$AG$84,$T$88:$AG$97,$T$101:$AG$110),
   MATCH(G86,$S$62:$S$71,1)+1,
   MATCH(F86,$T$61:$AG$61,1))
 *(INDEX($T$61:$AG$61,MATCH(F86,$T$61:$AG$61,1)+1)-F86)
 *(G86-INDEX($S$62:$S$71,MATCH(G86,$S$62:$S$71,1)))
+
 INDEX(CHOOSE(MATCH($E$68,{0.4;0.3;0.2;0.1;0},0),$T$49:$AG$58,$T$62:$AG$71,$T$75:$AG$84,$T$88:$AG$97,$T$101:$AG$110),
   MATCH(G86,$S$62:$S$71,1),
   MATCH(F86,$T$61:$AG$61,1)+1)
 *(F86-INDEX($T$61:$AG$61,MATCH(F86,$T$61:$AG$61,1)))
 *(INDEX($S$62:$S$71,MATCH(G86,$S$62:$S$71,1)+1)-G86)
+
 INDEX(CHOOSE(MATCH($E$68,{0.4;0.3;0.2;0.1;0},0),$T$49:$AG$58,$T$62:$AG$71,$T$75:$AG$84,$T$88:$AG$97,$T$101:$AG$110),
   MATCH(G86,$S$62:$S$71,1)+1,
   MATCH(F86,$T$61:$AG$61,1)+1)
 *(F86-INDEX($T$61:$AG$61,MATCH(F86,$T$61:$AG$61,1)))
 *(G86-INDEX($S$62:$S$71,MATCH(G86,$S$62:$S$71,1))))
 /
 ((INDEX($T$61:$AG$61,MATCH(F86,$T$61:$AG$61,1)+1)-INDEX($T$61:$AG$61,MATCH(F86,$T$61:$AG$61,1)))
  *
 (INDEX($S$62:$S$71,MATCH(G86,$S$62:$S$71,1)+1)-INDEX($S$62:$S$71,MATCH(G86,$S$62:$S$71,1)))))</f>
        <v>0.79</v>
      </c>
      <c r="J86" s="206"/>
      <c r="K86" s="243">
        <f>TRUNC(IFERROR(D86*I86,0),2)</f>
        <v>103.33</v>
      </c>
      <c r="L86" s="330" cm="1">
        <f t="array" ref="L86">IF(OR(F86="",G86=""),"",
IF((INDEX($T$61:$AG$61,MIN(MATCH(F86,$T$61:$AG$61,1)+1,31))-INDEX($T$61:$AG$61,MATCH(F86,$T$61:$AG$61,1)))*(INDEX($AH$62:$AH$71,MIN(MATCH(G86,$AH$62:$AH$71,-1)+1,10))-INDEX($AH$62:$AH$71,MATCH(G86,$AH$62:$AH$71,-1)))=0,
INDEX(CHOOSE(MATCH($E$68,{0.4;0.3;0.2;0.1;0},0),
        $T$49:$AG$58,$T$62:$AG$71,$T$75:$AG$84,$T$88:$AG$97,$T$101:$AG$110),
   MATCH(G86,$AH$62:$AH$71,-1),
   MATCH(F86,$T$61:$AG$61,1)),
(INDEX(CHOOSE(MATCH($E$68,{0.4;0.3;0.2;0.1;0},0),
        $T$49:$AG$58,$T$62:$AG$71,$T$75:$AG$84,$T$88:$AG$97,$T$101:$AG$110),
   MATCH(G86,$AH$62:$AH$71,-1),
   MATCH(F86,$T$61:$AG$61,1))
 *(INDEX($T$61:$AG$61,MIN(MATCH(F86,$T$61:$AG$61,1)+1,31))-F86)
 *(INDEX($AH$62:$AH$71,MIN(MATCH(G86,$AH$62:$AH$71,-1)+1,10))-G86)
+
 INDEX(CHOOSE(MATCH($E$68,{0.4;0.3;0.2;0.1;0},0),
        $T$49:$AG$58,$T$62:$AG$71,$T$75:$AG$84,$T$88:$AG$97,$T$101:$AG$110),
   MIN(MATCH(G86,$AH$62:$AH$71,-1)+1,10),
   MATCH(F86,$T$61:$AG$61,1))
 *(INDEX($T$61:$AG$61,MIN(MATCH(F86,$T$61:$AG$61,1)+1,31))-F86)
 *(G86-INDEX($AH$62:$AH$71,MATCH(G86,$AH$62:$AH$71,-1)))
+
 INDEX(CHOOSE(MATCH($E$68,{0.4;0.3;0.2;0.1;0},0),
        $T$49:$AG$58,$T$62:$AG$71,$T$75:$AG$84,$T$88:$AG$97,$T$101:$AG$110),
   MATCH(G86,$AH$62:$AH$71,-1),
   MIN(MATCH(F86,$T$61:$AG$61,1)+1,31))
 *(F86-INDEX($T$61:$AG$61,MATCH(F86,$T$61:$AG$61,1)))
 *(INDEX($AH$62:$AH$71,MIN(MATCH(G86,$AH$62:$AH$71,-1)+1,10))-G86)
+
 INDEX(CHOOSE(MATCH($E$68,{0.4;0.3;0.2;0.1;0},0),
        $T$49:$AG$58,$T$62:$AG$71,$T$75:$AG$84,$T$88:$AG$97,$T$101:$AG$110),
   MIN(MATCH(G86,$AH$62:$AH$71,-1)+1,10),
   MIN(MATCH(F86,$T$61:$AG$61,1)+1,31))
 *(F86-INDEX($T$61:$AG$61,MATCH(F86,$T$61:$AG$61,1)))
 *(G86-INDEX($AH$62:$AH$71,MATCH(G86,$AH$62:$AH$71,-1))))
 /
 ((INDEX($T$61:$AG$61,MIN(MATCH(F86,$T$61:$AG$61,1)+1,31))-INDEX($T$61:$AG$61,MATCH(F86,$T$61:$AG$61,1)))
  *
 (INDEX($AH$62:$AH$71,MIN(MATCH(G86,$AH$62:$AH$71,-1)+1,10))-INDEX($AH$62:$AH$71,MATCH(G86,$AH$62:$AH$71,-1))))))</f>
        <v>0.55000000000000004</v>
      </c>
      <c r="M86" s="243">
        <f>TRUNC(IFERROR(D86*L86,0),2)</f>
        <v>71.94</v>
      </c>
      <c r="N86" s="243">
        <f>TRUNC(D86*E86,2)</f>
        <v>1001.92</v>
      </c>
      <c r="O86" s="255"/>
      <c r="P86" s="255"/>
      <c r="Q86" s="255"/>
      <c r="R86" s="255"/>
      <c r="S86" s="280">
        <v>0.1</v>
      </c>
      <c r="T86" s="255"/>
      <c r="U86" s="255"/>
      <c r="V86" s="255"/>
      <c r="W86" s="255"/>
      <c r="X86" s="255"/>
      <c r="Y86" s="255"/>
      <c r="Z86" s="255"/>
      <c r="AA86" s="255"/>
      <c r="AB86" s="255"/>
      <c r="AC86" s="255"/>
      <c r="AD86" s="255"/>
      <c r="AE86" s="255"/>
      <c r="AF86" s="255"/>
      <c r="AG86" s="255"/>
      <c r="AH86" s="255"/>
      <c r="AI86" s="255"/>
      <c r="AJ86" s="255"/>
      <c r="AK86" s="282">
        <v>9.6999999999999993</v>
      </c>
      <c r="AL86">
        <v>9.4610000000000003</v>
      </c>
      <c r="AM86" s="255"/>
      <c r="AN86" s="255"/>
      <c r="AO86" s="255"/>
      <c r="AP86" s="284">
        <v>4.7</v>
      </c>
      <c r="AQ86">
        <v>20.2</v>
      </c>
      <c r="AR86" s="255"/>
      <c r="AS86" s="255"/>
      <c r="AT86">
        <v>10438.1</v>
      </c>
      <c r="AU86">
        <v>13831</v>
      </c>
      <c r="AV86">
        <v>8.74</v>
      </c>
      <c r="AW86" s="255"/>
      <c r="AX86">
        <v>11181.1</v>
      </c>
      <c r="AY86">
        <v>16215</v>
      </c>
      <c r="AZ86">
        <v>8.7799999999999994</v>
      </c>
      <c r="BA86" s="255"/>
      <c r="BB86">
        <v>11182.9</v>
      </c>
      <c r="BC86">
        <v>16215</v>
      </c>
      <c r="BD86">
        <v>8.7799999999999994</v>
      </c>
      <c r="BE86" s="255"/>
      <c r="BF86">
        <v>11181.2</v>
      </c>
      <c r="BG86">
        <v>16215</v>
      </c>
      <c r="BH86">
        <v>8.7799999999999994</v>
      </c>
      <c r="BI86" s="255"/>
      <c r="BJ86">
        <v>11054.2</v>
      </c>
      <c r="BK86">
        <v>16632</v>
      </c>
      <c r="BL86">
        <v>9.11</v>
      </c>
      <c r="BM86" s="255"/>
      <c r="BN86" s="255"/>
      <c r="BO86" s="255"/>
      <c r="BP86" s="255"/>
      <c r="BQ86" s="255"/>
      <c r="BR86" s="255"/>
      <c r="BS86" s="255"/>
    </row>
    <row r="87" spans="1:71" x14ac:dyDescent="0.25">
      <c r="A87" s="269" t="s">
        <v>198</v>
      </c>
      <c r="B87" s="315">
        <v>176.58</v>
      </c>
      <c r="C87" s="272">
        <v>1.35</v>
      </c>
      <c r="D87" s="243">
        <f t="shared" ref="D87:D91" si="12">TRUNC(B87/C87,2)</f>
        <v>130.80000000000001</v>
      </c>
      <c r="E87" s="315">
        <v>3.46</v>
      </c>
      <c r="F87" s="315">
        <v>60</v>
      </c>
      <c r="G87" s="315">
        <v>20</v>
      </c>
      <c r="H87" s="263" t="s">
        <v>405</v>
      </c>
      <c r="I87" s="330" cm="1">
        <f t="array" ref="I87">IF(OR(F87="",G87=""),"",
 (INDEX(CHOOSE(MATCH($E$68,{0.4;0.3;0.2;0.1;0},0),$T$49:$AG$58,$T$62:$AG$71,$T$75:$AG$84,$T$88:$AG$97,$T$101:$AG$110),
   MATCH(G87,$S$62:$S$71,1),
   MATCH(F87,$T$61:$AG$61,1))
 *(INDEX($T$61:$AG$61,MATCH(F87,$T$61:$AG$61,1)+1)-F87)
 *(INDEX($S$62:$S$71,MATCH(G87,$S$62:$S$71,1)+1)-G87)
+
 INDEX(CHOOSE(MATCH($E$68,{0.4;0.3;0.2;0.1;0},0),$T$49:$AG$58,$T$62:$AG$71,$T$75:$AG$84,$T$88:$AG$97,$T$101:$AG$110),
   MATCH(G87,$S$62:$S$71,1)+1,
   MATCH(F87,$T$61:$AG$61,1))
 *(INDEX($T$61:$AG$61,MATCH(F87,$T$61:$AG$61,1)+1)-F87)
 *(G87-INDEX($S$62:$S$71,MATCH(G87,$S$62:$S$71,1)))
+
 INDEX(CHOOSE(MATCH($E$68,{0.4;0.3;0.2;0.1;0},0),$T$49:$AG$58,$T$62:$AG$71,$T$75:$AG$84,$T$88:$AG$97,$T$101:$AG$110),
   MATCH(G87,$S$62:$S$71,1),
   MATCH(F87,$T$61:$AG$61,1)+1)
 *(F87-INDEX($T$61:$AG$61,MATCH(F87,$T$61:$AG$61,1)))
 *(INDEX($S$62:$S$71,MATCH(G87,$S$62:$S$71,1)+1)-G87)
+
 INDEX(CHOOSE(MATCH($E$68,{0.4;0.3;0.2;0.1;0},0),$T$49:$AG$58,$T$62:$AG$71,$T$75:$AG$84,$T$88:$AG$97,$T$101:$AG$110),
   MATCH(G87,$S$62:$S$71,1)+1,
   MATCH(F87,$T$61:$AG$61,1)+1)
 *(F87-INDEX($T$61:$AG$61,MATCH(F87,$T$61:$AG$61,1)))
 *(G87-INDEX($S$62:$S$71,MATCH(G87,$S$62:$S$71,1))))
 /
 ((INDEX($T$61:$AG$61,MATCH(F87,$T$61:$AG$61,1)+1)-INDEX($T$61:$AG$61,MATCH(F87,$T$61:$AG$61,1)))
  *
 (INDEX($S$62:$S$71,MATCH(G87,$S$62:$S$71,1)+1)-INDEX($S$62:$S$71,MATCH(G87,$S$62:$S$71,1)))))</f>
        <v>0.73</v>
      </c>
      <c r="K87" s="243">
        <f>TRUNC(IFERROR(D87*I87,0),2)</f>
        <v>95.48</v>
      </c>
      <c r="L87" s="330" cm="1">
        <f t="array" ref="L87">IF(OR(F87="",G87=""),"",
IF((INDEX($T$61:$AG$61,MIN(MATCH(F87,$T$61:$AG$61,1)+1,31))-INDEX($T$61:$AG$61,MATCH(F87,$T$61:$AG$61,1)))*(INDEX($AH$62:$AH$71,MIN(MATCH(G87,$AH$62:$AH$71,-1)+1,10))-INDEX($AH$62:$AH$71,MATCH(G87,$AH$62:$AH$71,-1)))=0,
INDEX(CHOOSE(MATCH($E$68,{0.4;0.3;0.2;0.1;0},0),
        $T$49:$AG$58,$T$62:$AG$71,$T$75:$AG$84,$T$88:$AG$97,$T$101:$AG$110),
   MATCH(G87,$AH$62:$AH$71,-1),
   MATCH(F87,$T$61:$AG$61,1)),
(INDEX(CHOOSE(MATCH($E$68,{0.4;0.3;0.2;0.1;0},0),
        $T$49:$AG$58,$T$62:$AG$71,$T$75:$AG$84,$T$88:$AG$97,$T$101:$AG$110),
   MATCH(G87,$AH$62:$AH$71,-1),
   MATCH(F87,$T$61:$AG$61,1))
 *(INDEX($T$61:$AG$61,MIN(MATCH(F87,$T$61:$AG$61,1)+1,31))-F87)
 *(INDEX($AH$62:$AH$71,MIN(MATCH(G87,$AH$62:$AH$71,-1)+1,10))-G87)
+
 INDEX(CHOOSE(MATCH($E$68,{0.4;0.3;0.2;0.1;0},0),
        $T$49:$AG$58,$T$62:$AG$71,$T$75:$AG$84,$T$88:$AG$97,$T$101:$AG$110),
   MIN(MATCH(G87,$AH$62:$AH$71,-1)+1,10),
   MATCH(F87,$T$61:$AG$61,1))
 *(INDEX($T$61:$AG$61,MIN(MATCH(F87,$T$61:$AG$61,1)+1,31))-F87)
 *(G87-INDEX($AH$62:$AH$71,MATCH(G87,$AH$62:$AH$71,-1)))
+
 INDEX(CHOOSE(MATCH($E$68,{0.4;0.3;0.2;0.1;0},0),
        $T$49:$AG$58,$T$62:$AG$71,$T$75:$AG$84,$T$88:$AG$97,$T$101:$AG$110),
   MATCH(G87,$AH$62:$AH$71,-1),
   MIN(MATCH(F87,$T$61:$AG$61,1)+1,31))
 *(F87-INDEX($T$61:$AG$61,MATCH(F87,$T$61:$AG$61,1)))
 *(INDEX($AH$62:$AH$71,MIN(MATCH(G87,$AH$62:$AH$71,-1)+1,10))-G87)
+
 INDEX(CHOOSE(MATCH($E$68,{0.4;0.3;0.2;0.1;0},0),
        $T$49:$AG$58,$T$62:$AG$71,$T$75:$AG$84,$T$88:$AG$97,$T$101:$AG$110),
   MIN(MATCH(G87,$AH$62:$AH$71,-1)+1,10),
   MIN(MATCH(F87,$T$61:$AG$61,1)+1,31))
 *(F87-INDEX($T$61:$AG$61,MATCH(F87,$T$61:$AG$61,1)))
 *(G87-INDEX($AH$62:$AH$71,MATCH(G87,$AH$62:$AH$71,-1))))
 /
 ((INDEX($T$61:$AG$61,MIN(MATCH(F87,$T$61:$AG$61,1)+1,31))-INDEX($T$61:$AG$61,MATCH(F87,$T$61:$AG$61,1)))
  *
 (INDEX($AH$62:$AH$71,MIN(MATCH(G87,$AH$62:$AH$71,-1)+1,10))-INDEX($AH$62:$AH$71,MATCH(G87,$AH$62:$AH$71,-1))))))</f>
        <v>0.43</v>
      </c>
      <c r="M87" s="243">
        <f t="shared" ref="M87:M91" si="13">TRUNC(IFERROR(D87*L87,0),2)</f>
        <v>56.24</v>
      </c>
      <c r="N87" s="243">
        <f t="shared" ref="N87:N91" si="14">TRUNC(D87*E87,2)</f>
        <v>452.56</v>
      </c>
      <c r="O87" s="255"/>
      <c r="P87" s="255"/>
      <c r="Q87" s="255"/>
      <c r="R87" s="255"/>
      <c r="S87" t="s">
        <v>319</v>
      </c>
      <c r="T87" s="240">
        <v>-30</v>
      </c>
      <c r="U87" s="240">
        <v>-20</v>
      </c>
      <c r="V87" s="240">
        <v>-10</v>
      </c>
      <c r="W87" s="240">
        <v>0</v>
      </c>
      <c r="X87" s="240">
        <v>10</v>
      </c>
      <c r="Y87" s="240">
        <v>20</v>
      </c>
      <c r="Z87" s="240">
        <v>30</v>
      </c>
      <c r="AA87" s="240">
        <v>40</v>
      </c>
      <c r="AB87" s="240">
        <v>45</v>
      </c>
      <c r="AC87" s="240">
        <v>50</v>
      </c>
      <c r="AD87" s="240">
        <v>60</v>
      </c>
      <c r="AE87" s="240">
        <v>70</v>
      </c>
      <c r="AF87" s="240">
        <v>80</v>
      </c>
      <c r="AG87" s="240">
        <v>90</v>
      </c>
      <c r="AH87" t="s">
        <v>320</v>
      </c>
      <c r="AI87" s="255"/>
      <c r="AJ87" s="255"/>
      <c r="AK87" s="282">
        <v>9.8000000000000007</v>
      </c>
      <c r="AL87">
        <v>9.43</v>
      </c>
      <c r="AM87" s="255"/>
      <c r="AN87" s="255"/>
      <c r="AO87" s="255"/>
      <c r="AP87" s="284">
        <v>4.8</v>
      </c>
      <c r="AQ87">
        <v>19.91</v>
      </c>
      <c r="AR87" s="255"/>
      <c r="AS87" s="255"/>
      <c r="AT87">
        <v>10308.4</v>
      </c>
      <c r="AU87">
        <v>14465</v>
      </c>
      <c r="AV87">
        <v>8.66</v>
      </c>
      <c r="AW87" s="255"/>
      <c r="AX87">
        <v>11049.8</v>
      </c>
      <c r="AY87">
        <v>16961</v>
      </c>
      <c r="AZ87">
        <v>8.6999999999999993</v>
      </c>
      <c r="BA87" s="255"/>
      <c r="BB87">
        <v>11051.6</v>
      </c>
      <c r="BC87">
        <v>16962</v>
      </c>
      <c r="BD87">
        <v>8.6999999999999993</v>
      </c>
      <c r="BE87" s="255"/>
      <c r="BF87">
        <v>11049.9</v>
      </c>
      <c r="BG87">
        <v>16961</v>
      </c>
      <c r="BH87">
        <v>8.6999999999999993</v>
      </c>
      <c r="BI87" s="255"/>
      <c r="BJ87">
        <v>10917</v>
      </c>
      <c r="BK87">
        <v>17420</v>
      </c>
      <c r="BL87">
        <v>9.0299999999999994</v>
      </c>
      <c r="BM87" s="255"/>
      <c r="BN87" s="255"/>
      <c r="BO87" s="255"/>
      <c r="BP87" s="255"/>
      <c r="BQ87" s="255"/>
      <c r="BR87" s="255"/>
      <c r="BS87" s="255"/>
    </row>
    <row r="88" spans="1:71" x14ac:dyDescent="0.25">
      <c r="A88" s="269" t="s">
        <v>199</v>
      </c>
      <c r="B88" s="315">
        <v>176.58</v>
      </c>
      <c r="C88" s="272">
        <v>1.35</v>
      </c>
      <c r="D88" s="243">
        <f t="shared" si="12"/>
        <v>130.80000000000001</v>
      </c>
      <c r="E88" s="315">
        <v>7.66</v>
      </c>
      <c r="F88" s="315">
        <v>50</v>
      </c>
      <c r="G88" s="315">
        <v>30</v>
      </c>
      <c r="H88" s="263" t="s">
        <v>406</v>
      </c>
      <c r="I88" s="330" cm="1">
        <f t="array" ref="I88">IF(OR(F88="",G88=""),"",
 (INDEX(CHOOSE(MATCH($E$68,{0.4;0.3;0.2;0.1;0},0),$T$49:$AG$58,$T$62:$AG$71,$T$75:$AG$84,$T$88:$AG$97,$T$101:$AG$110),
   MATCH(G88,$S$62:$S$71,1),
   MATCH(F88,$T$61:$AG$61,1))
 *(INDEX($T$61:$AG$61,MATCH(F88,$T$61:$AG$61,1)+1)-F88)
 *(INDEX($S$62:$S$71,MATCH(G88,$S$62:$S$71,1)+1)-G88)
+
 INDEX(CHOOSE(MATCH($E$68,{0.4;0.3;0.2;0.1;0},0),$T$49:$AG$58,$T$62:$AG$71,$T$75:$AG$84,$T$88:$AG$97,$T$101:$AG$110),
   MATCH(G88,$S$62:$S$71,1)+1,
   MATCH(F88,$T$61:$AG$61,1))
 *(INDEX($T$61:$AG$61,MATCH(F88,$T$61:$AG$61,1)+1)-F88)
 *(G88-INDEX($S$62:$S$71,MATCH(G88,$S$62:$S$71,1)))
+
 INDEX(CHOOSE(MATCH($E$68,{0.4;0.3;0.2;0.1;0},0),$T$49:$AG$58,$T$62:$AG$71,$T$75:$AG$84,$T$88:$AG$97,$T$101:$AG$110),
   MATCH(G88,$S$62:$S$71,1),
   MATCH(F88,$T$61:$AG$61,1)+1)
 *(F88-INDEX($T$61:$AG$61,MATCH(F88,$T$61:$AG$61,1)))
 *(INDEX($S$62:$S$71,MATCH(G88,$S$62:$S$71,1)+1)-G88)
+
 INDEX(CHOOSE(MATCH($E$68,{0.4;0.3;0.2;0.1;0},0),$T$49:$AG$58,$T$62:$AG$71,$T$75:$AG$84,$T$88:$AG$97,$T$101:$AG$110),
   MATCH(G88,$S$62:$S$71,1)+1,
   MATCH(F88,$T$61:$AG$61,1)+1)
 *(F88-INDEX($T$61:$AG$61,MATCH(F88,$T$61:$AG$61,1)))
 *(G88-INDEX($S$62:$S$71,MATCH(G88,$S$62:$S$71,1))))
 /
 ((INDEX($T$61:$AG$61,MATCH(F88,$T$61:$AG$61,1)+1)-INDEX($T$61:$AG$61,MATCH(F88,$T$61:$AG$61,1)))
  *
 (INDEX($S$62:$S$71,MATCH(G88,$S$62:$S$71,1)+1)-INDEX($S$62:$S$71,MATCH(G88,$S$62:$S$71,1)))))</f>
        <v>0.79</v>
      </c>
      <c r="K88" s="243">
        <f t="shared" ref="K88:K91" si="15">TRUNC(IFERROR(D88*I88,0),2)</f>
        <v>103.33</v>
      </c>
      <c r="L88" s="330" cm="1">
        <f t="array" ref="L88">IF(OR(F88="",G88=""),"",
IF((INDEX($T$61:$AG$61,MIN(MATCH(F88,$T$61:$AG$61,1)+1,31))-INDEX($T$61:$AG$61,MATCH(F88,$T$61:$AG$61,1)))*(INDEX($AH$62:$AH$71,MIN(MATCH(G88,$AH$62:$AH$71,-1)+1,10))-INDEX($AH$62:$AH$71,MATCH(G88,$AH$62:$AH$71,-1)))=0,
INDEX(CHOOSE(MATCH($E$68,{0.4;0.3;0.2;0.1;0},0),
        $T$49:$AG$58,$T$62:$AG$71,$T$75:$AG$84,$T$88:$AG$97,$T$101:$AG$110),
   MATCH(G88,$AH$62:$AH$71,-1),
   MATCH(F88,$T$61:$AG$61,1)),
(INDEX(CHOOSE(MATCH($E$68,{0.4;0.3;0.2;0.1;0},0),
        $T$49:$AG$58,$T$62:$AG$71,$T$75:$AG$84,$T$88:$AG$97,$T$101:$AG$110),
   MATCH(G88,$AH$62:$AH$71,-1),
   MATCH(F88,$T$61:$AG$61,1))
 *(INDEX($T$61:$AG$61,MIN(MATCH(F88,$T$61:$AG$61,1)+1,31))-F88)
 *(INDEX($AH$62:$AH$71,MIN(MATCH(G88,$AH$62:$AH$71,-1)+1,10))-G88)
+
 INDEX(CHOOSE(MATCH($E$68,{0.4;0.3;0.2;0.1;0},0),
        $T$49:$AG$58,$T$62:$AG$71,$T$75:$AG$84,$T$88:$AG$97,$T$101:$AG$110),
   MIN(MATCH(G88,$AH$62:$AH$71,-1)+1,10),
   MATCH(F88,$T$61:$AG$61,1))
 *(INDEX($T$61:$AG$61,MIN(MATCH(F88,$T$61:$AG$61,1)+1,31))-F88)
 *(G88-INDEX($AH$62:$AH$71,MATCH(G88,$AH$62:$AH$71,-1)))
+
 INDEX(CHOOSE(MATCH($E$68,{0.4;0.3;0.2;0.1;0},0),
        $T$49:$AG$58,$T$62:$AG$71,$T$75:$AG$84,$T$88:$AG$97,$T$101:$AG$110),
   MATCH(G88,$AH$62:$AH$71,-1),
   MIN(MATCH(F88,$T$61:$AG$61,1)+1,31))
 *(F88-INDEX($T$61:$AG$61,MATCH(F88,$T$61:$AG$61,1)))
 *(INDEX($AH$62:$AH$71,MIN(MATCH(G88,$AH$62:$AH$71,-1)+1,10))-G88)
+
 INDEX(CHOOSE(MATCH($E$68,{0.4;0.3;0.2;0.1;0},0),
        $T$49:$AG$58,$T$62:$AG$71,$T$75:$AG$84,$T$88:$AG$97,$T$101:$AG$110),
   MIN(MATCH(G88,$AH$62:$AH$71,-1)+1,10),
   MIN(MATCH(F88,$T$61:$AG$61,1)+1,31))
 *(F88-INDEX($T$61:$AG$61,MATCH(F88,$T$61:$AG$61,1)))
 *(G88-INDEX($AH$62:$AH$71,MATCH(G88,$AH$62:$AH$71,-1))))
 /
 ((INDEX($T$61:$AG$61,MIN(MATCH(F88,$T$61:$AG$61,1)+1,31))-INDEX($T$61:$AG$61,MATCH(F88,$T$61:$AG$61,1)))
  *
 (INDEX($AH$62:$AH$71,MIN(MATCH(G88,$AH$62:$AH$71,-1)+1,10))-INDEX($AH$62:$AH$71,MATCH(G88,$AH$62:$AH$71,-1))))))</f>
        <v>0.55000000000000004</v>
      </c>
      <c r="M88" s="243">
        <f t="shared" si="13"/>
        <v>71.94</v>
      </c>
      <c r="N88" s="243">
        <f t="shared" si="14"/>
        <v>1001.92</v>
      </c>
      <c r="O88" s="255"/>
      <c r="P88" s="255"/>
      <c r="Q88" s="255"/>
      <c r="R88" s="255"/>
      <c r="S88" s="282">
        <v>0</v>
      </c>
      <c r="T88">
        <v>0.82</v>
      </c>
      <c r="U88">
        <v>0.91</v>
      </c>
      <c r="V88">
        <v>0.97</v>
      </c>
      <c r="W88">
        <v>1</v>
      </c>
      <c r="X88">
        <v>1</v>
      </c>
      <c r="Y88">
        <v>0.97</v>
      </c>
      <c r="Z88">
        <v>0.92</v>
      </c>
      <c r="AA88">
        <v>0.83</v>
      </c>
      <c r="AB88">
        <v>0.78</v>
      </c>
      <c r="AC88">
        <v>0.72</v>
      </c>
      <c r="AD88">
        <v>0.59</v>
      </c>
      <c r="AE88">
        <v>0.44</v>
      </c>
      <c r="AF88">
        <v>0.27</v>
      </c>
      <c r="AG88">
        <v>0.1</v>
      </c>
      <c r="AH88" s="284">
        <v>90</v>
      </c>
      <c r="AI88" s="255"/>
      <c r="AJ88" s="255"/>
      <c r="AK88" s="282">
        <v>9.9</v>
      </c>
      <c r="AL88">
        <v>9.4</v>
      </c>
      <c r="AM88" s="255"/>
      <c r="AN88" s="255"/>
      <c r="AO88" s="255"/>
      <c r="AP88" s="284">
        <v>4.9000000000000004</v>
      </c>
      <c r="AQ88">
        <v>19.63</v>
      </c>
      <c r="AR88" s="255"/>
      <c r="AS88" s="255"/>
      <c r="AT88">
        <v>10174.700000000001</v>
      </c>
      <c r="AU88">
        <v>15083</v>
      </c>
      <c r="AV88">
        <v>8.57</v>
      </c>
      <c r="AW88" s="255"/>
      <c r="AX88">
        <v>10914.5</v>
      </c>
      <c r="AY88">
        <v>17687</v>
      </c>
      <c r="AZ88">
        <v>8.61</v>
      </c>
      <c r="BA88" s="255"/>
      <c r="BB88">
        <v>10916.3</v>
      </c>
      <c r="BC88">
        <v>17688</v>
      </c>
      <c r="BD88">
        <v>8.61</v>
      </c>
      <c r="BE88" s="255"/>
      <c r="BF88">
        <v>10914.6</v>
      </c>
      <c r="BG88">
        <v>17687</v>
      </c>
      <c r="BH88">
        <v>8.61</v>
      </c>
      <c r="BI88" s="255"/>
      <c r="BJ88">
        <v>10772.9</v>
      </c>
      <c r="BK88">
        <v>18220</v>
      </c>
      <c r="BL88">
        <v>8.9499999999999993</v>
      </c>
      <c r="BM88" s="255"/>
      <c r="BN88" s="255"/>
      <c r="BO88" s="255"/>
      <c r="BP88" s="255"/>
      <c r="BQ88" s="255"/>
      <c r="BR88" s="255"/>
      <c r="BS88" s="255"/>
    </row>
    <row r="89" spans="1:71" x14ac:dyDescent="0.25">
      <c r="A89" s="269" t="s">
        <v>200</v>
      </c>
      <c r="B89" s="315">
        <v>176.58</v>
      </c>
      <c r="C89" s="272">
        <v>1.35</v>
      </c>
      <c r="D89" s="243">
        <f t="shared" si="12"/>
        <v>130.80000000000001</v>
      </c>
      <c r="E89" s="315">
        <v>3.46</v>
      </c>
      <c r="F89" s="315">
        <v>60</v>
      </c>
      <c r="G89" s="315">
        <v>20</v>
      </c>
      <c r="H89" s="263" t="s">
        <v>406</v>
      </c>
      <c r="I89" s="330" cm="1">
        <f t="array" ref="I89">IF(OR(F89="",G89=""),"",
 (INDEX(CHOOSE(MATCH($E$68,{0.4;0.3;0.2;0.1;0},0),$T$49:$AG$58,$T$62:$AG$71,$T$75:$AG$84,$T$88:$AG$97,$T$101:$AG$110),
   MATCH(G89,$S$62:$S$71,1),
   MATCH(F89,$T$61:$AG$61,1))
 *(INDEX($T$61:$AG$61,MATCH(F89,$T$61:$AG$61,1)+1)-F89)
 *(INDEX($S$62:$S$71,MATCH(G89,$S$62:$S$71,1)+1)-G89)
+
 INDEX(CHOOSE(MATCH($E$68,{0.4;0.3;0.2;0.1;0},0),$T$49:$AG$58,$T$62:$AG$71,$T$75:$AG$84,$T$88:$AG$97,$T$101:$AG$110),
   MATCH(G89,$S$62:$S$71,1)+1,
   MATCH(F89,$T$61:$AG$61,1))
 *(INDEX($T$61:$AG$61,MATCH(F89,$T$61:$AG$61,1)+1)-F89)
 *(G89-INDEX($S$62:$S$71,MATCH(G89,$S$62:$S$71,1)))
+
 INDEX(CHOOSE(MATCH($E$68,{0.4;0.3;0.2;0.1;0},0),$T$49:$AG$58,$T$62:$AG$71,$T$75:$AG$84,$T$88:$AG$97,$T$101:$AG$110),
   MATCH(G89,$S$62:$S$71,1),
   MATCH(F89,$T$61:$AG$61,1)+1)
 *(F89-INDEX($T$61:$AG$61,MATCH(F89,$T$61:$AG$61,1)))
 *(INDEX($S$62:$S$71,MATCH(G89,$S$62:$S$71,1)+1)-G89)
+
 INDEX(CHOOSE(MATCH($E$68,{0.4;0.3;0.2;0.1;0},0),$T$49:$AG$58,$T$62:$AG$71,$T$75:$AG$84,$T$88:$AG$97,$T$101:$AG$110),
   MATCH(G89,$S$62:$S$71,1)+1,
   MATCH(F89,$T$61:$AG$61,1)+1)
 *(F89-INDEX($T$61:$AG$61,MATCH(F89,$T$61:$AG$61,1)))
 *(G89-INDEX($S$62:$S$71,MATCH(G89,$S$62:$S$71,1))))
 /
 ((INDEX($T$61:$AG$61,MATCH(F89,$T$61:$AG$61,1)+1)-INDEX($T$61:$AG$61,MATCH(F89,$T$61:$AG$61,1)))
  *
 (INDEX($S$62:$S$71,MATCH(G89,$S$62:$S$71,1)+1)-INDEX($S$62:$S$71,MATCH(G89,$S$62:$S$71,1)))))</f>
        <v>0.73</v>
      </c>
      <c r="K89" s="243">
        <f t="shared" si="15"/>
        <v>95.48</v>
      </c>
      <c r="L89" s="330" cm="1">
        <f t="array" ref="L89">IF(OR(F89="",G89=""),"",
IF((INDEX($T$61:$AG$61,MIN(MATCH(F89,$T$61:$AG$61,1)+1,31))-INDEX($T$61:$AG$61,MATCH(F89,$T$61:$AG$61,1)))*(INDEX($AH$62:$AH$71,MIN(MATCH(G89,$AH$62:$AH$71,-1)+1,10))-INDEX($AH$62:$AH$71,MATCH(G89,$AH$62:$AH$71,-1)))=0,
INDEX(CHOOSE(MATCH($E$68,{0.4;0.3;0.2;0.1;0},0),
        $T$49:$AG$58,$T$62:$AG$71,$T$75:$AG$84,$T$88:$AG$97,$T$101:$AG$110),
   MATCH(G89,$AH$62:$AH$71,-1),
   MATCH(F89,$T$61:$AG$61,1)),
(INDEX(CHOOSE(MATCH($E$68,{0.4;0.3;0.2;0.1;0},0),
        $T$49:$AG$58,$T$62:$AG$71,$T$75:$AG$84,$T$88:$AG$97,$T$101:$AG$110),
   MATCH(G89,$AH$62:$AH$71,-1),
   MATCH(F89,$T$61:$AG$61,1))
 *(INDEX($T$61:$AG$61,MIN(MATCH(F89,$T$61:$AG$61,1)+1,31))-F89)
 *(INDEX($AH$62:$AH$71,MIN(MATCH(G89,$AH$62:$AH$71,-1)+1,10))-G89)
+
 INDEX(CHOOSE(MATCH($E$68,{0.4;0.3;0.2;0.1;0},0),
        $T$49:$AG$58,$T$62:$AG$71,$T$75:$AG$84,$T$88:$AG$97,$T$101:$AG$110),
   MIN(MATCH(G89,$AH$62:$AH$71,-1)+1,10),
   MATCH(F89,$T$61:$AG$61,1))
 *(INDEX($T$61:$AG$61,MIN(MATCH(F89,$T$61:$AG$61,1)+1,31))-F89)
 *(G89-INDEX($AH$62:$AH$71,MATCH(G89,$AH$62:$AH$71,-1)))
+
 INDEX(CHOOSE(MATCH($E$68,{0.4;0.3;0.2;0.1;0},0),
        $T$49:$AG$58,$T$62:$AG$71,$T$75:$AG$84,$T$88:$AG$97,$T$101:$AG$110),
   MATCH(G89,$AH$62:$AH$71,-1),
   MIN(MATCH(F89,$T$61:$AG$61,1)+1,31))
 *(F89-INDEX($T$61:$AG$61,MATCH(F89,$T$61:$AG$61,1)))
 *(INDEX($AH$62:$AH$71,MIN(MATCH(G89,$AH$62:$AH$71,-1)+1,10))-G89)
+
 INDEX(CHOOSE(MATCH($E$68,{0.4;0.3;0.2;0.1;0},0),
        $T$49:$AG$58,$T$62:$AG$71,$T$75:$AG$84,$T$88:$AG$97,$T$101:$AG$110),
   MIN(MATCH(G89,$AH$62:$AH$71,-1)+1,10),
   MIN(MATCH(F89,$T$61:$AG$61,1)+1,31))
 *(F89-INDEX($T$61:$AG$61,MATCH(F89,$T$61:$AG$61,1)))
 *(G89-INDEX($AH$62:$AH$71,MATCH(G89,$AH$62:$AH$71,-1))))
 /
 ((INDEX($T$61:$AG$61,MIN(MATCH(F89,$T$61:$AG$61,1)+1,31))-INDEX($T$61:$AG$61,MATCH(F89,$T$61:$AG$61,1)))
  *
 (INDEX($AH$62:$AH$71,MIN(MATCH(G89,$AH$62:$AH$71,-1)+1,10))-INDEX($AH$62:$AH$71,MATCH(G89,$AH$62:$AH$71,-1))))))</f>
        <v>0.43</v>
      </c>
      <c r="M89" s="243">
        <f t="shared" si="13"/>
        <v>56.24</v>
      </c>
      <c r="N89" s="243">
        <f t="shared" si="14"/>
        <v>452.56</v>
      </c>
      <c r="O89" s="255"/>
      <c r="P89" s="255"/>
      <c r="Q89" s="255"/>
      <c r="R89" s="255"/>
      <c r="S89" s="282">
        <v>10</v>
      </c>
      <c r="T89">
        <v>0.8</v>
      </c>
      <c r="U89">
        <v>0.89</v>
      </c>
      <c r="V89">
        <v>0.95</v>
      </c>
      <c r="W89">
        <v>0.98</v>
      </c>
      <c r="X89">
        <v>0.99</v>
      </c>
      <c r="Y89">
        <v>0.96</v>
      </c>
      <c r="Z89">
        <v>0.9</v>
      </c>
      <c r="AA89">
        <v>0.82</v>
      </c>
      <c r="AB89">
        <v>0.77</v>
      </c>
      <c r="AC89">
        <v>0.71</v>
      </c>
      <c r="AD89">
        <v>0.57999999999999996</v>
      </c>
      <c r="AE89">
        <v>0.43</v>
      </c>
      <c r="AF89">
        <v>0.27</v>
      </c>
      <c r="AG89">
        <v>0.1</v>
      </c>
      <c r="AH89" s="284">
        <v>80</v>
      </c>
      <c r="AI89" s="255"/>
      <c r="AJ89" s="255"/>
      <c r="AK89" s="282">
        <v>10</v>
      </c>
      <c r="AL89">
        <v>9.3689999999999998</v>
      </c>
      <c r="AM89" s="255"/>
      <c r="AN89" s="255"/>
      <c r="AO89" s="255"/>
      <c r="AP89" s="284">
        <v>5</v>
      </c>
      <c r="AQ89">
        <v>19.36</v>
      </c>
      <c r="AR89" s="255"/>
      <c r="AS89" s="255"/>
      <c r="AT89">
        <v>10036.6</v>
      </c>
      <c r="AU89">
        <v>15684</v>
      </c>
      <c r="AV89">
        <v>8.48</v>
      </c>
      <c r="AW89" s="255"/>
      <c r="AX89">
        <v>10775.3</v>
      </c>
      <c r="AY89">
        <v>18390</v>
      </c>
      <c r="AZ89">
        <v>8.5299999999999994</v>
      </c>
      <c r="BA89" s="255"/>
      <c r="BB89">
        <v>10777</v>
      </c>
      <c r="BC89">
        <v>18391</v>
      </c>
      <c r="BD89">
        <v>8.5299999999999994</v>
      </c>
      <c r="BE89" s="255"/>
      <c r="BF89">
        <v>10775.3</v>
      </c>
      <c r="BG89">
        <v>18390</v>
      </c>
      <c r="BH89">
        <v>8.5299999999999994</v>
      </c>
      <c r="BI89" s="255"/>
      <c r="BJ89">
        <v>10624.7</v>
      </c>
      <c r="BK89">
        <v>18995</v>
      </c>
      <c r="BL89">
        <v>8.86</v>
      </c>
      <c r="BM89" s="255"/>
      <c r="BN89" s="255"/>
      <c r="BO89" s="255"/>
      <c r="BP89" s="255"/>
      <c r="BQ89" s="255"/>
      <c r="BR89" s="255"/>
      <c r="BS89" s="255"/>
    </row>
    <row r="90" spans="1:71" x14ac:dyDescent="0.25">
      <c r="A90" s="269" t="s">
        <v>201</v>
      </c>
      <c r="B90" s="315"/>
      <c r="C90" s="272">
        <v>1.35</v>
      </c>
      <c r="D90" s="243">
        <f t="shared" si="12"/>
        <v>0</v>
      </c>
      <c r="E90" s="315"/>
      <c r="F90" s="315"/>
      <c r="G90" s="315"/>
      <c r="H90" s="263" t="s">
        <v>367</v>
      </c>
      <c r="I90" s="330" t="str" cm="1">
        <f t="array" ref="I90">IF(OR(F90="",G90=""),"",
 (INDEX(CHOOSE(MATCH($E$68,{0.4;0.3;0.2;0.1;0},0),$T$49:$AG$58,$T$62:$AG$71,$T$75:$AG$84,$T$88:$AG$97,$T$101:$AG$110),
   MATCH(G90,$S$62:$S$71,1),
   MATCH(F90,$T$61:$AG$61,1))
 *(INDEX($T$61:$AG$61,MATCH(F90,$T$61:$AG$61,1)+1)-F90)
 *(INDEX($S$62:$S$71,MATCH(G90,$S$62:$S$71,1)+1)-G90)
+
 INDEX(CHOOSE(MATCH($E$68,{0.4;0.3;0.2;0.1;0},0),$T$49:$AG$58,$T$62:$AG$71,$T$75:$AG$84,$T$88:$AG$97,$T$101:$AG$110),
   MATCH(G90,$S$62:$S$71,1)+1,
   MATCH(F90,$T$61:$AG$61,1))
 *(INDEX($T$61:$AG$61,MATCH(F90,$T$61:$AG$61,1)+1)-F90)
 *(G90-INDEX($S$62:$S$71,MATCH(G90,$S$62:$S$71,1)))
+
 INDEX(CHOOSE(MATCH($E$68,{0.4;0.3;0.2;0.1;0},0),$T$49:$AG$58,$T$62:$AG$71,$T$75:$AG$84,$T$88:$AG$97,$T$101:$AG$110),
   MATCH(G90,$S$62:$S$71,1),
   MATCH(F90,$T$61:$AG$61,1)+1)
 *(F90-INDEX($T$61:$AG$61,MATCH(F90,$T$61:$AG$61,1)))
 *(INDEX($S$62:$S$71,MATCH(G90,$S$62:$S$71,1)+1)-G90)
+
 INDEX(CHOOSE(MATCH($E$68,{0.4;0.3;0.2;0.1;0},0),$T$49:$AG$58,$T$62:$AG$71,$T$75:$AG$84,$T$88:$AG$97,$T$101:$AG$110),
   MATCH(G90,$S$62:$S$71,1)+1,
   MATCH(F90,$T$61:$AG$61,1)+1)
 *(F90-INDEX($T$61:$AG$61,MATCH(F90,$T$61:$AG$61,1)))
 *(G90-INDEX($S$62:$S$71,MATCH(G90,$S$62:$S$71,1))))
 /
 ((INDEX($T$61:$AG$61,MATCH(F90,$T$61:$AG$61,1)+1)-INDEX($T$61:$AG$61,MATCH(F90,$T$61:$AG$61,1)))
  *
 (INDEX($S$62:$S$71,MATCH(G90,$S$62:$S$71,1)+1)-INDEX($S$62:$S$71,MATCH(G90,$S$62:$S$71,1)))))</f>
        <v/>
      </c>
      <c r="K90" s="243">
        <f t="shared" si="15"/>
        <v>0</v>
      </c>
      <c r="L90" s="330" t="str" cm="1">
        <f t="array" ref="L90">IF(OR(F90="",G90=""),"",
IF((INDEX($T$61:$AG$61,MIN(MATCH(F90,$T$61:$AG$61,1)+1,31))-INDEX($T$61:$AG$61,MATCH(F90,$T$61:$AG$61,1)))*(INDEX($AH$62:$AH$71,MIN(MATCH(G90,$AH$62:$AH$71,-1)+1,10))-INDEX($AH$62:$AH$71,MATCH(G90,$AH$62:$AH$71,-1)))=0,
INDEX(CHOOSE(MATCH($E$68,{0.4;0.3;0.2;0.1;0},0),
        $T$49:$AG$58,$T$62:$AG$71,$T$75:$AG$84,$T$88:$AG$97,$T$101:$AG$110),
   MATCH(G90,$AH$62:$AH$71,-1),
   MATCH(F90,$T$61:$AG$61,1)),
(INDEX(CHOOSE(MATCH($E$68,{0.4;0.3;0.2;0.1;0},0),
        $T$49:$AG$58,$T$62:$AG$71,$T$75:$AG$84,$T$88:$AG$97,$T$101:$AG$110),
   MATCH(G90,$AH$62:$AH$71,-1),
   MATCH(F90,$T$61:$AG$61,1))
 *(INDEX($T$61:$AG$61,MIN(MATCH(F90,$T$61:$AG$61,1)+1,31))-F90)
 *(INDEX($AH$62:$AH$71,MIN(MATCH(G90,$AH$62:$AH$71,-1)+1,10))-G90)
+
 INDEX(CHOOSE(MATCH($E$68,{0.4;0.3;0.2;0.1;0},0),
        $T$49:$AG$58,$T$62:$AG$71,$T$75:$AG$84,$T$88:$AG$97,$T$101:$AG$110),
   MIN(MATCH(G90,$AH$62:$AH$71,-1)+1,10),
   MATCH(F90,$T$61:$AG$61,1))
 *(INDEX($T$61:$AG$61,MIN(MATCH(F90,$T$61:$AG$61,1)+1,31))-F90)
 *(G90-INDEX($AH$62:$AH$71,MATCH(G90,$AH$62:$AH$71,-1)))
+
 INDEX(CHOOSE(MATCH($E$68,{0.4;0.3;0.2;0.1;0},0),
        $T$49:$AG$58,$T$62:$AG$71,$T$75:$AG$84,$T$88:$AG$97,$T$101:$AG$110),
   MATCH(G90,$AH$62:$AH$71,-1),
   MIN(MATCH(F90,$T$61:$AG$61,1)+1,31))
 *(F90-INDEX($T$61:$AG$61,MATCH(F90,$T$61:$AG$61,1)))
 *(INDEX($AH$62:$AH$71,MIN(MATCH(G90,$AH$62:$AH$71,-1)+1,10))-G90)
+
 INDEX(CHOOSE(MATCH($E$68,{0.4;0.3;0.2;0.1;0},0),
        $T$49:$AG$58,$T$62:$AG$71,$T$75:$AG$84,$T$88:$AG$97,$T$101:$AG$110),
   MIN(MATCH(G90,$AH$62:$AH$71,-1)+1,10),
   MIN(MATCH(F90,$T$61:$AG$61,1)+1,31))
 *(F90-INDEX($T$61:$AG$61,MATCH(F90,$T$61:$AG$61,1)))
 *(G90-INDEX($AH$62:$AH$71,MATCH(G90,$AH$62:$AH$71,-1))))
 /
 ((INDEX($T$61:$AG$61,MIN(MATCH(F90,$T$61:$AG$61,1)+1,31))-INDEX($T$61:$AG$61,MATCH(F90,$T$61:$AG$61,1)))
  *
 (INDEX($AH$62:$AH$71,MIN(MATCH(G90,$AH$62:$AH$71,-1)+1,10))-INDEX($AH$62:$AH$71,MATCH(G90,$AH$62:$AH$71,-1))))))</f>
        <v/>
      </c>
      <c r="M90" s="243">
        <f t="shared" si="13"/>
        <v>0</v>
      </c>
      <c r="N90" s="243">
        <f t="shared" si="14"/>
        <v>0</v>
      </c>
      <c r="O90" s="255"/>
      <c r="P90" s="255"/>
      <c r="Q90" s="255"/>
      <c r="R90" s="255"/>
      <c r="S90" s="282">
        <v>20</v>
      </c>
      <c r="T90">
        <v>0.76</v>
      </c>
      <c r="U90">
        <v>0.85</v>
      </c>
      <c r="V90">
        <v>0.91</v>
      </c>
      <c r="W90">
        <v>0.94</v>
      </c>
      <c r="X90">
        <v>0.94</v>
      </c>
      <c r="Y90">
        <v>0.92</v>
      </c>
      <c r="Z90">
        <v>0.86</v>
      </c>
      <c r="AA90">
        <v>0.78</v>
      </c>
      <c r="AB90">
        <v>0.74</v>
      </c>
      <c r="AC90">
        <v>0.68</v>
      </c>
      <c r="AD90">
        <v>0.56000000000000005</v>
      </c>
      <c r="AE90">
        <v>0.42</v>
      </c>
      <c r="AF90">
        <v>0.26</v>
      </c>
      <c r="AG90">
        <v>0.1</v>
      </c>
      <c r="AH90" s="284">
        <v>70</v>
      </c>
      <c r="AI90" s="255"/>
      <c r="AJ90" s="255"/>
      <c r="AK90" s="282">
        <v>10.1</v>
      </c>
      <c r="AL90">
        <v>9.3390000000000004</v>
      </c>
      <c r="AM90" s="255"/>
      <c r="AN90" s="255"/>
      <c r="AO90" s="255"/>
      <c r="AP90" s="284">
        <v>5.0999999999999996</v>
      </c>
      <c r="AQ90">
        <v>19.100000000000001</v>
      </c>
      <c r="AR90" s="255"/>
      <c r="AS90" s="255"/>
      <c r="AT90">
        <v>9894.1</v>
      </c>
      <c r="AU90">
        <v>16266</v>
      </c>
      <c r="AV90">
        <v>8.39</v>
      </c>
      <c r="AW90" s="255"/>
      <c r="AX90">
        <v>10632.1</v>
      </c>
      <c r="AY90">
        <v>19068</v>
      </c>
      <c r="AZ90">
        <v>8.44</v>
      </c>
      <c r="BA90" s="255"/>
      <c r="BB90">
        <v>10633.8</v>
      </c>
      <c r="BC90">
        <v>19070</v>
      </c>
      <c r="BD90">
        <v>8.44</v>
      </c>
      <c r="BE90" s="255"/>
      <c r="BF90">
        <v>10632.1</v>
      </c>
      <c r="BG90">
        <v>19068</v>
      </c>
      <c r="BH90">
        <v>8.44</v>
      </c>
      <c r="BI90" s="255"/>
      <c r="BJ90">
        <v>10472.1</v>
      </c>
      <c r="BK90">
        <v>19742</v>
      </c>
      <c r="BL90">
        <v>8.77</v>
      </c>
      <c r="BM90" s="255"/>
      <c r="BN90" s="255"/>
      <c r="BO90" s="255"/>
      <c r="BP90" s="255"/>
      <c r="BQ90" s="255"/>
      <c r="BR90" s="255"/>
      <c r="BS90" s="255"/>
    </row>
    <row r="91" spans="1:71" x14ac:dyDescent="0.25">
      <c r="A91" s="269" t="s">
        <v>202</v>
      </c>
      <c r="B91" s="315"/>
      <c r="C91" s="272">
        <v>1.35</v>
      </c>
      <c r="D91" s="243">
        <f t="shared" si="12"/>
        <v>0</v>
      </c>
      <c r="E91" s="315"/>
      <c r="F91" s="315"/>
      <c r="G91" s="315"/>
      <c r="H91" s="263" t="s">
        <v>367</v>
      </c>
      <c r="I91" s="330" t="str" cm="1">
        <f t="array" ref="I91">IF(OR(F91="",G91=""),"",
 (INDEX(CHOOSE(MATCH($E$68,{0.4;0.3;0.2;0.1;0},0),$T$49:$AG$58,$T$62:$AG$71,$T$75:$AG$84,$T$88:$AG$97,$T$101:$AG$110),
   MATCH(G91,$S$62:$S$71,1),
   MATCH(F91,$T$61:$AG$61,1))
 *(INDEX($T$61:$AG$61,MATCH(F91,$T$61:$AG$61,1)+1)-F91)
 *(INDEX($S$62:$S$71,MATCH(G91,$S$62:$S$71,1)+1)-G91)
+
 INDEX(CHOOSE(MATCH($E$68,{0.4;0.3;0.2;0.1;0},0),$T$49:$AG$58,$T$62:$AG$71,$T$75:$AG$84,$T$88:$AG$97,$T$101:$AG$110),
   MATCH(G91,$S$62:$S$71,1)+1,
   MATCH(F91,$T$61:$AG$61,1))
 *(INDEX($T$61:$AG$61,MATCH(F91,$T$61:$AG$61,1)+1)-F91)
 *(G91-INDEX($S$62:$S$71,MATCH(G91,$S$62:$S$71,1)))
+
 INDEX(CHOOSE(MATCH($E$68,{0.4;0.3;0.2;0.1;0},0),$T$49:$AG$58,$T$62:$AG$71,$T$75:$AG$84,$T$88:$AG$97,$T$101:$AG$110),
   MATCH(G91,$S$62:$S$71,1),
   MATCH(F91,$T$61:$AG$61,1)+1)
 *(F91-INDEX($T$61:$AG$61,MATCH(F91,$T$61:$AG$61,1)))
 *(INDEX($S$62:$S$71,MATCH(G91,$S$62:$S$71,1)+1)-G91)
+
 INDEX(CHOOSE(MATCH($E$68,{0.4;0.3;0.2;0.1;0},0),$T$49:$AG$58,$T$62:$AG$71,$T$75:$AG$84,$T$88:$AG$97,$T$101:$AG$110),
   MATCH(G91,$S$62:$S$71,1)+1,
   MATCH(F91,$T$61:$AG$61,1)+1)
 *(F91-INDEX($T$61:$AG$61,MATCH(F91,$T$61:$AG$61,1)))
 *(G91-INDEX($S$62:$S$71,MATCH(G91,$S$62:$S$71,1))))
 /
 ((INDEX($T$61:$AG$61,MATCH(F91,$T$61:$AG$61,1)+1)-INDEX($T$61:$AG$61,MATCH(F91,$T$61:$AG$61,1)))
  *
 (INDEX($S$62:$S$71,MATCH(G91,$S$62:$S$71,1)+1)-INDEX($S$62:$S$71,MATCH(G91,$S$62:$S$71,1)))))</f>
        <v/>
      </c>
      <c r="K91" s="243">
        <f t="shared" si="15"/>
        <v>0</v>
      </c>
      <c r="L91" s="330" t="str" cm="1">
        <f t="array" ref="L91">IF(OR(F91="",G91=""),"",
IF((INDEX($T$61:$AG$61,MIN(MATCH(F91,$T$61:$AG$61,1)+1,31))-INDEX($T$61:$AG$61,MATCH(F91,$T$61:$AG$61,1)))*(INDEX($AH$62:$AH$71,MIN(MATCH(G91,$AH$62:$AH$71,-1)+1,10))-INDEX($AH$62:$AH$71,MATCH(G91,$AH$62:$AH$71,-1)))=0,
INDEX(CHOOSE(MATCH($E$68,{0.4;0.3;0.2;0.1;0},0),
        $T$49:$AG$58,$T$62:$AG$71,$T$75:$AG$84,$T$88:$AG$97,$T$101:$AG$110),
   MATCH(G91,$AH$62:$AH$71,-1),
   MATCH(F91,$T$61:$AG$61,1)),
(INDEX(CHOOSE(MATCH($E$68,{0.4;0.3;0.2;0.1;0},0),
        $T$49:$AG$58,$T$62:$AG$71,$T$75:$AG$84,$T$88:$AG$97,$T$101:$AG$110),
   MATCH(G91,$AH$62:$AH$71,-1),
   MATCH(F91,$T$61:$AG$61,1))
 *(INDEX($T$61:$AG$61,MIN(MATCH(F91,$T$61:$AG$61,1)+1,31))-F91)
 *(INDEX($AH$62:$AH$71,MIN(MATCH(G91,$AH$62:$AH$71,-1)+1,10))-G91)
+
 INDEX(CHOOSE(MATCH($E$68,{0.4;0.3;0.2;0.1;0},0),
        $T$49:$AG$58,$T$62:$AG$71,$T$75:$AG$84,$T$88:$AG$97,$T$101:$AG$110),
   MIN(MATCH(G91,$AH$62:$AH$71,-1)+1,10),
   MATCH(F91,$T$61:$AG$61,1))
 *(INDEX($T$61:$AG$61,MIN(MATCH(F91,$T$61:$AG$61,1)+1,31))-F91)
 *(G91-INDEX($AH$62:$AH$71,MATCH(G91,$AH$62:$AH$71,-1)))
+
 INDEX(CHOOSE(MATCH($E$68,{0.4;0.3;0.2;0.1;0},0),
        $T$49:$AG$58,$T$62:$AG$71,$T$75:$AG$84,$T$88:$AG$97,$T$101:$AG$110),
   MATCH(G91,$AH$62:$AH$71,-1),
   MIN(MATCH(F91,$T$61:$AG$61,1)+1,31))
 *(F91-INDEX($T$61:$AG$61,MATCH(F91,$T$61:$AG$61,1)))
 *(INDEX($AH$62:$AH$71,MIN(MATCH(G91,$AH$62:$AH$71,-1)+1,10))-G91)
+
 INDEX(CHOOSE(MATCH($E$68,{0.4;0.3;0.2;0.1;0},0),
        $T$49:$AG$58,$T$62:$AG$71,$T$75:$AG$84,$T$88:$AG$97,$T$101:$AG$110),
   MIN(MATCH(G91,$AH$62:$AH$71,-1)+1,10),
   MIN(MATCH(F91,$T$61:$AG$61,1)+1,31))
 *(F91-INDEX($T$61:$AG$61,MATCH(F91,$T$61:$AG$61,1)))
 *(G91-INDEX($AH$62:$AH$71,MATCH(G91,$AH$62:$AH$71,-1))))
 /
 ((INDEX($T$61:$AG$61,MIN(MATCH(F91,$T$61:$AG$61,1)+1,31))-INDEX($T$61:$AG$61,MATCH(F91,$T$61:$AG$61,1)))
  *
 (INDEX($AH$62:$AH$71,MIN(MATCH(G91,$AH$62:$AH$71,-1)+1,10))-INDEX($AH$62:$AH$71,MATCH(G91,$AH$62:$AH$71,-1))))))</f>
        <v/>
      </c>
      <c r="M91" s="243">
        <f t="shared" si="13"/>
        <v>0</v>
      </c>
      <c r="N91" s="243">
        <f t="shared" si="14"/>
        <v>0</v>
      </c>
      <c r="O91" s="255"/>
      <c r="P91" s="255"/>
      <c r="Q91" s="255"/>
      <c r="R91" s="255"/>
      <c r="S91" s="282">
        <v>30</v>
      </c>
      <c r="T91">
        <v>0.7</v>
      </c>
      <c r="U91">
        <v>0.78</v>
      </c>
      <c r="V91">
        <v>0.84</v>
      </c>
      <c r="W91">
        <v>0.87</v>
      </c>
      <c r="X91">
        <v>0.87</v>
      </c>
      <c r="Y91">
        <v>0.85</v>
      </c>
      <c r="Z91">
        <v>0.8</v>
      </c>
      <c r="AA91">
        <v>0.73</v>
      </c>
      <c r="AB91">
        <v>0.68</v>
      </c>
      <c r="AC91">
        <v>0.63</v>
      </c>
      <c r="AD91">
        <v>0.52</v>
      </c>
      <c r="AE91">
        <v>0.39</v>
      </c>
      <c r="AF91">
        <v>0.25</v>
      </c>
      <c r="AG91">
        <v>0.1</v>
      </c>
      <c r="AH91" s="284">
        <v>60</v>
      </c>
      <c r="AI91" s="255"/>
      <c r="AJ91" s="255"/>
      <c r="AK91" s="282">
        <v>10.199999999999999</v>
      </c>
      <c r="AL91">
        <v>9.3089999999999993</v>
      </c>
      <c r="AM91" s="255"/>
      <c r="AN91" s="255"/>
      <c r="AO91" s="255"/>
      <c r="AP91" s="284">
        <v>5.2</v>
      </c>
      <c r="AQ91">
        <v>18.850000000000001</v>
      </c>
      <c r="AR91" s="255"/>
      <c r="AS91" s="255"/>
      <c r="AT91">
        <v>9748</v>
      </c>
      <c r="AU91">
        <v>16820</v>
      </c>
      <c r="AV91">
        <v>8.3000000000000007</v>
      </c>
      <c r="AW91" s="255"/>
      <c r="AX91">
        <v>10484.9</v>
      </c>
      <c r="AY91">
        <v>19721</v>
      </c>
      <c r="AZ91">
        <v>8.36</v>
      </c>
      <c r="BA91" s="255"/>
      <c r="BB91">
        <v>10486.5</v>
      </c>
      <c r="BC91">
        <v>19723</v>
      </c>
      <c r="BD91">
        <v>8.36</v>
      </c>
      <c r="BE91" s="255"/>
      <c r="BF91">
        <v>10484.9</v>
      </c>
      <c r="BG91">
        <v>19721</v>
      </c>
      <c r="BH91">
        <v>8.36</v>
      </c>
      <c r="BI91" s="255"/>
      <c r="BJ91">
        <v>10315.299999999999</v>
      </c>
      <c r="BK91">
        <v>20455</v>
      </c>
      <c r="BL91">
        <v>8.68</v>
      </c>
      <c r="BM91" s="255"/>
      <c r="BN91" s="255"/>
      <c r="BO91" s="255"/>
      <c r="BP91" s="255"/>
      <c r="BQ91" s="255"/>
      <c r="BR91" s="255"/>
      <c r="BS91" s="255"/>
    </row>
    <row r="92" spans="1:71" x14ac:dyDescent="0.25">
      <c r="A92" s="255"/>
      <c r="B92" s="317" t="s">
        <v>497</v>
      </c>
      <c r="C92" s="255" t="s">
        <v>384</v>
      </c>
      <c r="D92" s="255"/>
      <c r="E92" s="263" t="s">
        <v>497</v>
      </c>
      <c r="F92" s="263" t="s">
        <v>497</v>
      </c>
      <c r="G92" s="263" t="s">
        <v>497</v>
      </c>
      <c r="H92" s="318" t="s">
        <v>497</v>
      </c>
      <c r="I92" s="303" t="s">
        <v>242</v>
      </c>
      <c r="J92" s="239" t="s">
        <v>187</v>
      </c>
      <c r="K92" s="331">
        <f>K86+K87+K88+K89+K90+K91</f>
        <v>397.62</v>
      </c>
      <c r="L92" s="307"/>
      <c r="M92" s="304" t="s">
        <v>240</v>
      </c>
      <c r="N92" s="332">
        <f>N86+N87+N88+N89+N90+N91</f>
        <v>2908.96</v>
      </c>
      <c r="O92" s="255"/>
      <c r="P92" s="255"/>
      <c r="Q92" s="255"/>
      <c r="R92" s="255"/>
      <c r="S92" s="282">
        <v>40</v>
      </c>
      <c r="T92">
        <v>0.61</v>
      </c>
      <c r="U92">
        <v>0.69</v>
      </c>
      <c r="V92">
        <v>0.74</v>
      </c>
      <c r="W92">
        <v>0.77</v>
      </c>
      <c r="X92">
        <v>0.77</v>
      </c>
      <c r="Y92">
        <v>0.75</v>
      </c>
      <c r="Z92">
        <v>0.71</v>
      </c>
      <c r="AA92">
        <v>0.65</v>
      </c>
      <c r="AB92">
        <v>0.61</v>
      </c>
      <c r="AC92">
        <v>0.56999999999999995</v>
      </c>
      <c r="AD92">
        <v>0.47</v>
      </c>
      <c r="AE92">
        <v>0.36</v>
      </c>
      <c r="AF92">
        <v>0.23</v>
      </c>
      <c r="AG92">
        <v>0.1</v>
      </c>
      <c r="AH92" s="284">
        <v>50</v>
      </c>
      <c r="AI92" s="255"/>
      <c r="AJ92" s="255"/>
      <c r="AK92" s="282">
        <v>10.3</v>
      </c>
      <c r="AL92">
        <v>9.2799999999999994</v>
      </c>
      <c r="AM92" s="255"/>
      <c r="AN92" s="255"/>
      <c r="AO92" s="255"/>
      <c r="AP92" s="284">
        <v>5.3</v>
      </c>
      <c r="AQ92">
        <v>18.62</v>
      </c>
      <c r="AR92" s="255"/>
      <c r="AS92" s="255"/>
      <c r="AT92">
        <v>9599</v>
      </c>
      <c r="AU92">
        <v>17342</v>
      </c>
      <c r="AV92">
        <v>8.2100000000000009</v>
      </c>
      <c r="AW92" s="255"/>
      <c r="AX92">
        <v>10333.700000000001</v>
      </c>
      <c r="AY92">
        <v>20346</v>
      </c>
      <c r="AZ92">
        <v>8.27</v>
      </c>
      <c r="BA92" s="255"/>
      <c r="BB92">
        <v>10335.299999999999</v>
      </c>
      <c r="BC92">
        <v>20348</v>
      </c>
      <c r="BD92">
        <v>8.27</v>
      </c>
      <c r="BE92" s="255"/>
      <c r="BF92">
        <v>10333.799999999999</v>
      </c>
      <c r="BG92">
        <v>20346</v>
      </c>
      <c r="BH92">
        <v>8.27</v>
      </c>
      <c r="BI92" s="255"/>
      <c r="BJ92">
        <v>10154.299999999999</v>
      </c>
      <c r="BK92">
        <v>21133</v>
      </c>
      <c r="BL92">
        <v>8.59</v>
      </c>
      <c r="BM92" s="255"/>
      <c r="BN92" s="255"/>
      <c r="BO92" s="255"/>
      <c r="BP92" s="255"/>
      <c r="BQ92" s="255"/>
      <c r="BR92" s="255"/>
      <c r="BS92" s="255"/>
    </row>
    <row r="93" spans="1:71" x14ac:dyDescent="0.25">
      <c r="A93" s="269" t="s">
        <v>203</v>
      </c>
      <c r="B93" s="416">
        <v>176.58</v>
      </c>
      <c r="C93" s="272">
        <v>1.35</v>
      </c>
      <c r="D93" s="243">
        <f>TRUNC(B93/C93,2)</f>
        <v>130.80000000000001</v>
      </c>
      <c r="E93" s="416">
        <v>7.66</v>
      </c>
      <c r="F93" s="416">
        <v>50</v>
      </c>
      <c r="G93" s="416">
        <v>30</v>
      </c>
      <c r="H93" s="415" t="s">
        <v>405</v>
      </c>
      <c r="I93" s="330" cm="1">
        <f t="array" ref="I93">IF(OR(F93="",G93=""),"",
(INDEX(CHOOSE(MATCH($E$68,{0.4;0.3;0.2;0.1;0},0),$T$49:$AG$58,$T$62:$AG$71,$T$75:$AG$84,$T$88:$AG$97,$T$101:$AG$110),
MATCH(G93,$S$62:$S$71,1),
MATCH(F93,$T$61:$AG$61,1))
*(INDEX($T$61:$AG$61,MATCH(F93,$T$61:$AG$61,1)+1)-F93)
*(INDEX($S$62:$S$71,MATCH(G93,$S$62:$S$71,1)+1)-G93)
+
INDEX(CHOOSE(MATCH($E$68,{0.4;0.3;0.2;0.1;0},0),$T$49:$AG$58,$T$62:$AG$71,$T$75:$AG$84,$T$88:$AG$97,$T$101:$AG$110),
MATCH(G93,$S$62:$S$71,1)+1,
MATCH(F93,$T$61:$AG$61,1))
*(INDEX($T$61:$AG$61,MATCH(F93,$T$61:$AG$61,1)+1)-F93)
*(G93-INDEX($S$62:$S$71,MATCH(G93,$S$62:$S$71,1)))
+
INDEX(CHOOSE(MATCH($E$68,{0.4;0.3;0.2;0.1;0},0),$T$49:$AG$58,$T$62:$AG$71,$T$75:$AG$84,$T$88:$AG$97,$T$101:$AG$110),
MATCH(G93,$S$62:$S$71,1),
MATCH(F93,$T$61:$AG$61,1)+1)
*(F93-INDEX($T$61:$AG$61,MATCH(F93,$T$61:$AG$61,1)))
*(INDEX($S$62:$S$71,MATCH(G93,$S$62:$S$71,1)+1)-G93)
+
INDEX(CHOOSE(MATCH($E$68,{0.4;0.3;0.2;0.1;0},0),$T$49:$AG$58,$T$62:$AG$71,$T$75:$AG$84,$T$88:$AG$97,$T$101:$AG$110),
MATCH(G93,$S$62:$S$71,1)+1,
MATCH(F93,$T$61:$AG$61,1)+1)
*(F93-INDEX($T$61:$AG$61,MATCH(F93,$T$61:$AG$61,1)))
*(G93-INDEX($S$62:$S$71,MATCH(G93,$S$62:$S$71,1))))
/
((INDEX($T$61:$AG$61,MATCH(F93,$T$61:$AG$61,1)+1)-INDEX($T$61:$AG$61,MATCH(F93,$T$61:$AG$61,1)))
*
(INDEX($S$62:$S$71,MATCH(G93,$S$62:$S$71,1)+1)-INDEX($S$62:$S$71,MATCH(G93,$S$62:$S$71,1)))))</f>
        <v>0.79</v>
      </c>
      <c r="K93" s="243">
        <f>TRUNC(IFERROR(D93*I93,0),2)</f>
        <v>103.33</v>
      </c>
      <c r="L93" s="330" cm="1">
        <f t="array" ref="L93">IF(OR(F93="",G93=""),"",
IF((INDEX($T$61:$AG$61,MIN(MATCH(F93,$T$61:$AG$61,1)+1,31))-INDEX($T$61:$AG$61,MATCH(F93,$T$61:$AG$61,1)))*(INDEX($AH$62:$AH$71,MIN(MATCH(G93,$AH$62:$AH$71,-1)+1,10))-INDEX($AH$62:$AH$71,MATCH(G93,$AH$62:$AH$71,-1)))=0,
INDEX(CHOOSE(MATCH($E$68,{0.4;0.3;0.2;0.1;0},0),
        $T$49:$AG$58,$T$62:$AG$71,$T$75:$AG$84,$T$88:$AG$97,$T$101:$AG$110),
   MATCH(G93,$AH$62:$AH$71,-1),
   MATCH(F93,$T$61:$AG$61,1)),
(INDEX(CHOOSE(MATCH($E$68,{0.4;0.3;0.2;0.1;0},0),
        $T$49:$AG$58,$T$62:$AG$71,$T$75:$AG$84,$T$88:$AG$97,$T$101:$AG$110),
   MATCH(G93,$AH$62:$AH$71,-1),
   MATCH(F93,$T$61:$AG$61,1))
 *(INDEX($T$61:$AG$61,MIN(MATCH(F93,$T$61:$AG$61,1)+1,31))-F93)
 *(INDEX($AH$62:$AH$71,MIN(MATCH(G93,$AH$62:$AH$71,-1)+1,10))-G93)
+
 INDEX(CHOOSE(MATCH($E$68,{0.4;0.3;0.2;0.1;0},0),
        $T$49:$AG$58,$T$62:$AG$71,$T$75:$AG$84,$T$88:$AG$97,$T$101:$AG$110),
   MIN(MATCH(G93,$AH$62:$AH$71,-1)+1,10),
   MATCH(F93,$T$61:$AG$61,1))
 *(INDEX($T$61:$AG$61,MIN(MATCH(F93,$T$61:$AG$61,1)+1,31))-F93)
 *(G93-INDEX($AH$62:$AH$71,MATCH(G93,$AH$62:$AH$71,-1)))
+
 INDEX(CHOOSE(MATCH($E$68,{0.4;0.3;0.2;0.1;0},0),
        $T$49:$AG$58,$T$62:$AG$71,$T$75:$AG$84,$T$88:$AG$97,$T$101:$AG$110),
   MATCH(G93,$AH$62:$AH$71,-1),
   MIN(MATCH(F93,$T$61:$AG$61,1)+1,31))
 *(F93-INDEX($T$61:$AG$61,MATCH(F93,$T$61:$AG$61,1)))
 *(INDEX($AH$62:$AH$71,MIN(MATCH(G93,$AH$62:$AH$71,-1)+1,10))-G93)
+
 INDEX(CHOOSE(MATCH($E$68,{0.4;0.3;0.2;0.1;0},0),
        $T$49:$AG$58,$T$62:$AG$71,$T$75:$AG$84,$T$88:$AG$97,$T$101:$AG$110),
   MIN(MATCH(G93,$AH$62:$AH$71,-1)+1,10),
   MIN(MATCH(F93,$T$61:$AG$61,1)+1,31))
 *(F93-INDEX($T$61:$AG$61,MATCH(F93,$T$61:$AG$61,1)))
 *(G93-INDEX($AH$62:$AH$71,MATCH(G93,$AH$62:$AH$71,-1))))
 /
 ((INDEX($T$61:$AG$61,MIN(MATCH(F93,$T$61:$AG$61,1)+1,31))-INDEX($T$61:$AG$61,MATCH(F93,$T$61:$AG$61,1)))
  *
 (INDEX($AH$62:$AH$71,MIN(MATCH(G93,$AH$62:$AH$71,-1)+1,10))-INDEX($AH$62:$AH$71,MATCH(G93,$AH$62:$AH$71,-1))))))</f>
        <v>0.55000000000000004</v>
      </c>
      <c r="M93" s="243">
        <f>TRUNC(IFERROR(D93*L93,0),2)</f>
        <v>71.94</v>
      </c>
      <c r="N93" s="243">
        <f>TRUNC(D93*E93,2)</f>
        <v>1001.92</v>
      </c>
      <c r="O93" s="255"/>
      <c r="P93" s="255"/>
      <c r="Q93" s="255"/>
      <c r="R93" s="255"/>
      <c r="S93" s="282">
        <v>50</v>
      </c>
      <c r="T93">
        <v>0.51</v>
      </c>
      <c r="U93">
        <v>0.56999999999999995</v>
      </c>
      <c r="V93">
        <v>0.62</v>
      </c>
      <c r="W93">
        <v>0.64</v>
      </c>
      <c r="X93">
        <v>0.65</v>
      </c>
      <c r="Y93">
        <v>0.64</v>
      </c>
      <c r="Z93">
        <v>0.61</v>
      </c>
      <c r="AA93">
        <v>0.56000000000000005</v>
      </c>
      <c r="AB93">
        <v>0.53</v>
      </c>
      <c r="AC93">
        <v>0.49</v>
      </c>
      <c r="AD93">
        <v>0.41</v>
      </c>
      <c r="AE93">
        <v>0.31</v>
      </c>
      <c r="AF93">
        <v>0.21</v>
      </c>
      <c r="AG93">
        <v>0.1</v>
      </c>
      <c r="AH93" s="284">
        <v>40</v>
      </c>
      <c r="AI93" s="255"/>
      <c r="AJ93" s="255"/>
      <c r="AK93" s="282">
        <v>10.4</v>
      </c>
      <c r="AL93">
        <v>9.25</v>
      </c>
      <c r="AM93" s="255"/>
      <c r="AN93" s="255"/>
      <c r="AO93" s="255"/>
      <c r="AP93" s="284">
        <v>5.4</v>
      </c>
      <c r="AQ93">
        <v>18.399999999999999</v>
      </c>
      <c r="AR93" s="255"/>
      <c r="AS93" s="255"/>
      <c r="AT93">
        <v>9446.7999999999993</v>
      </c>
      <c r="AU93">
        <v>17840</v>
      </c>
      <c r="AV93">
        <v>8.1199999999999992</v>
      </c>
      <c r="AW93" s="255"/>
      <c r="AX93">
        <v>10178.6</v>
      </c>
      <c r="AY93">
        <v>20942</v>
      </c>
      <c r="AZ93">
        <v>8.17</v>
      </c>
      <c r="BA93" s="255"/>
      <c r="BB93">
        <v>10180.200000000001</v>
      </c>
      <c r="BC93">
        <v>20944</v>
      </c>
      <c r="BD93">
        <v>8.17</v>
      </c>
      <c r="BE93" s="255"/>
      <c r="BF93">
        <v>10178.6</v>
      </c>
      <c r="BG93">
        <v>20942</v>
      </c>
      <c r="BH93">
        <v>8.17</v>
      </c>
      <c r="BI93" s="255"/>
      <c r="BJ93">
        <v>9989</v>
      </c>
      <c r="BK93">
        <v>21771</v>
      </c>
      <c r="BL93">
        <v>8.5</v>
      </c>
      <c r="BM93" s="255"/>
      <c r="BN93" s="255"/>
      <c r="BO93" s="255"/>
      <c r="BP93" s="255"/>
      <c r="BQ93" s="255"/>
      <c r="BR93" s="255"/>
      <c r="BS93" s="255"/>
    </row>
    <row r="94" spans="1:71" x14ac:dyDescent="0.25">
      <c r="A94" s="269" t="s">
        <v>204</v>
      </c>
      <c r="B94" s="416">
        <v>176.58</v>
      </c>
      <c r="C94" s="272">
        <v>1.35</v>
      </c>
      <c r="D94" s="243">
        <f t="shared" ref="D94:D98" si="16">TRUNC(B94/C94,2)</f>
        <v>130.80000000000001</v>
      </c>
      <c r="E94" s="416">
        <v>3.46</v>
      </c>
      <c r="F94" s="416">
        <v>60</v>
      </c>
      <c r="G94" s="416">
        <v>20</v>
      </c>
      <c r="H94" s="415" t="s">
        <v>405</v>
      </c>
      <c r="I94" s="330" cm="1">
        <f t="array" ref="I94">IF(OR(F94="",G94=""),"",
(INDEX(CHOOSE(MATCH($E$68,{0.4;0.3;0.2;0.1;0},0),$T$49:$AG$58,$T$62:$AG$71,$T$75:$AG$84,$T$88:$AG$97,$T$101:$AG$110),
MATCH(G94,$S$62:$S$71,1),
MATCH(F94,$T$61:$AG$61,1))
*(INDEX($T$61:$AG$61,MATCH(F94,$T$61:$AG$61,1)+1)-F94)
*(INDEX($S$62:$S$71,MATCH(G94,$S$62:$S$71,1)+1)-G94)
+
INDEX(CHOOSE(MATCH($E$68,{0.4;0.3;0.2;0.1;0},0),$T$49:$AG$58,$T$62:$AG$71,$T$75:$AG$84,$T$88:$AG$97,$T$101:$AG$110),
MATCH(G94,$S$62:$S$71,1)+1,
MATCH(F94,$T$61:$AG$61,1))
*(INDEX($T$61:$AG$61,MATCH(F94,$T$61:$AG$61,1)+1)-F94)
*(G94-INDEX($S$62:$S$71,MATCH(G94,$S$62:$S$71,1)))
+
INDEX(CHOOSE(MATCH($E$68,{0.4;0.3;0.2;0.1;0},0),$T$49:$AG$58,$T$62:$AG$71,$T$75:$AG$84,$T$88:$AG$97,$T$101:$AG$110),
MATCH(G94,$S$62:$S$71,1),
MATCH(F94,$T$61:$AG$61,1)+1)
*(F94-INDEX($T$61:$AG$61,MATCH(F94,$T$61:$AG$61,1)))
*(INDEX($S$62:$S$71,MATCH(G94,$S$62:$S$71,1)+1)-G94)
+
INDEX(CHOOSE(MATCH($E$68,{0.4;0.3;0.2;0.1;0},0),$T$49:$AG$58,$T$62:$AG$71,$T$75:$AG$84,$T$88:$AG$97,$T$101:$AG$110),
MATCH(G94,$S$62:$S$71,1)+1,
MATCH(F94,$T$61:$AG$61,1)+1)
*(F94-INDEX($T$61:$AG$61,MATCH(F94,$T$61:$AG$61,1)))
*(G94-INDEX($S$62:$S$71,MATCH(G94,$S$62:$S$71,1))))
/
((INDEX($T$61:$AG$61,MATCH(F94,$T$61:$AG$61,1)+1)-INDEX($T$61:$AG$61,MATCH(F94,$T$61:$AG$61,1)))
*
(INDEX($S$62:$S$71,MATCH(G94,$S$62:$S$71,1)+1)-INDEX($S$62:$S$71,MATCH(G94,$S$62:$S$71,1)))))</f>
        <v>0.73</v>
      </c>
      <c r="K94" s="243">
        <f t="shared" ref="K94:K98" si="17">TRUNC(IFERROR(D94*I94,0),2)</f>
        <v>95.48</v>
      </c>
      <c r="L94" s="330" cm="1">
        <f t="array" ref="L94">IF(OR(F94="",G94=""),"",
IF((INDEX($T$61:$AG$61,MIN(MATCH(F94,$T$61:$AG$61,1)+1,31))-INDEX($T$61:$AG$61,MATCH(F94,$T$61:$AG$61,1)))*(INDEX($AH$62:$AH$71,MIN(MATCH(G94,$AH$62:$AH$71,-1)+1,10))-INDEX($AH$62:$AH$71,MATCH(G94,$AH$62:$AH$71,-1)))=0,
INDEX(CHOOSE(MATCH($E$68,{0.4;0.3;0.2;0.1;0},0),
        $T$49:$AG$58,$T$62:$AG$71,$T$75:$AG$84,$T$88:$AG$97,$T$101:$AG$110),
   MATCH(G94,$AH$62:$AH$71,-1),
   MATCH(F94,$T$61:$AG$61,1)),
(INDEX(CHOOSE(MATCH($E$68,{0.4;0.3;0.2;0.1;0},0),
        $T$49:$AG$58,$T$62:$AG$71,$T$75:$AG$84,$T$88:$AG$97,$T$101:$AG$110),
   MATCH(G94,$AH$62:$AH$71,-1),
   MATCH(F94,$T$61:$AG$61,1))
 *(INDEX($T$61:$AG$61,MIN(MATCH(F94,$T$61:$AG$61,1)+1,31))-F94)
 *(INDEX($AH$62:$AH$71,MIN(MATCH(G94,$AH$62:$AH$71,-1)+1,10))-G94)
+
 INDEX(CHOOSE(MATCH($E$68,{0.4;0.3;0.2;0.1;0},0),
        $T$49:$AG$58,$T$62:$AG$71,$T$75:$AG$84,$T$88:$AG$97,$T$101:$AG$110),
   MIN(MATCH(G94,$AH$62:$AH$71,-1)+1,10),
   MATCH(F94,$T$61:$AG$61,1))
 *(INDEX($T$61:$AG$61,MIN(MATCH(F94,$T$61:$AG$61,1)+1,31))-F94)
 *(G94-INDEX($AH$62:$AH$71,MATCH(G94,$AH$62:$AH$71,-1)))
+
 INDEX(CHOOSE(MATCH($E$68,{0.4;0.3;0.2;0.1;0},0),
        $T$49:$AG$58,$T$62:$AG$71,$T$75:$AG$84,$T$88:$AG$97,$T$101:$AG$110),
   MATCH(G94,$AH$62:$AH$71,-1),
   MIN(MATCH(F94,$T$61:$AG$61,1)+1,31))
 *(F94-INDEX($T$61:$AG$61,MATCH(F94,$T$61:$AG$61,1)))
 *(INDEX($AH$62:$AH$71,MIN(MATCH(G94,$AH$62:$AH$71,-1)+1,10))-G94)
+
 INDEX(CHOOSE(MATCH($E$68,{0.4;0.3;0.2;0.1;0},0),
        $T$49:$AG$58,$T$62:$AG$71,$T$75:$AG$84,$T$88:$AG$97,$T$101:$AG$110),
   MIN(MATCH(G94,$AH$62:$AH$71,-1)+1,10),
   MIN(MATCH(F94,$T$61:$AG$61,1)+1,31))
 *(F94-INDEX($T$61:$AG$61,MATCH(F94,$T$61:$AG$61,1)))
 *(G94-INDEX($AH$62:$AH$71,MATCH(G94,$AH$62:$AH$71,-1))))
 /
 ((INDEX($T$61:$AG$61,MIN(MATCH(F94,$T$61:$AG$61,1)+1,31))-INDEX($T$61:$AG$61,MATCH(F94,$T$61:$AG$61,1)))
  *
 (INDEX($AH$62:$AH$71,MIN(MATCH(G94,$AH$62:$AH$71,-1)+1,10))-INDEX($AH$62:$AH$71,MATCH(G94,$AH$62:$AH$71,-1))))))</f>
        <v>0.43</v>
      </c>
      <c r="M94" s="243">
        <f t="shared" ref="M94:M98" si="18">TRUNC(IFERROR(D94*L94,0),2)</f>
        <v>56.24</v>
      </c>
      <c r="N94" s="243">
        <f t="shared" ref="N94:N98" si="19">TRUNC(D94*E94,2)</f>
        <v>452.56</v>
      </c>
      <c r="O94" s="255"/>
      <c r="P94" s="255"/>
      <c r="Q94" s="255"/>
      <c r="R94" s="255"/>
      <c r="S94" s="282">
        <v>60</v>
      </c>
      <c r="T94">
        <v>0.38</v>
      </c>
      <c r="U94">
        <v>0.44</v>
      </c>
      <c r="V94">
        <v>0.48</v>
      </c>
      <c r="W94">
        <v>0.5</v>
      </c>
      <c r="X94">
        <v>0.51</v>
      </c>
      <c r="Y94">
        <v>0.5</v>
      </c>
      <c r="Z94">
        <v>0.48</v>
      </c>
      <c r="AA94">
        <v>0.45</v>
      </c>
      <c r="AB94">
        <v>0.42</v>
      </c>
      <c r="AC94">
        <v>0.4</v>
      </c>
      <c r="AD94">
        <v>0.34</v>
      </c>
      <c r="AE94">
        <v>0.26</v>
      </c>
      <c r="AF94">
        <v>0.19</v>
      </c>
      <c r="AG94">
        <v>0.1</v>
      </c>
      <c r="AH94" s="284">
        <v>30</v>
      </c>
      <c r="AI94" s="255"/>
      <c r="AJ94" s="255"/>
      <c r="AK94" s="282">
        <v>10.5</v>
      </c>
      <c r="AL94">
        <v>9.2210000000000001</v>
      </c>
      <c r="AM94" s="255"/>
      <c r="AN94" s="255"/>
      <c r="AO94" s="255"/>
      <c r="AP94" s="284">
        <v>5.5</v>
      </c>
      <c r="AQ94">
        <v>18.190000000000001</v>
      </c>
      <c r="AR94" s="255"/>
      <c r="AS94" s="255"/>
      <c r="AT94">
        <v>9291.5</v>
      </c>
      <c r="AU94">
        <v>18322</v>
      </c>
      <c r="AV94">
        <v>8.02</v>
      </c>
      <c r="AW94" s="255"/>
      <c r="AX94">
        <v>10019.5</v>
      </c>
      <c r="AY94">
        <v>21505</v>
      </c>
      <c r="AZ94">
        <v>8.08</v>
      </c>
      <c r="BA94" s="255"/>
      <c r="BB94">
        <v>10021</v>
      </c>
      <c r="BC94">
        <v>21508</v>
      </c>
      <c r="BD94">
        <v>8.08</v>
      </c>
      <c r="BE94" s="255"/>
      <c r="BF94">
        <v>10019.5</v>
      </c>
      <c r="BG94">
        <v>21505</v>
      </c>
      <c r="BH94">
        <v>8.08</v>
      </c>
      <c r="BI94" s="255"/>
      <c r="BJ94">
        <v>9819.4</v>
      </c>
      <c r="BK94">
        <v>22367</v>
      </c>
      <c r="BL94">
        <v>8.4</v>
      </c>
      <c r="BM94" s="255"/>
      <c r="BN94" s="255"/>
      <c r="BO94" s="255"/>
      <c r="BP94" s="255"/>
      <c r="BQ94" s="255"/>
      <c r="BR94" s="255"/>
      <c r="BS94" s="255"/>
    </row>
    <row r="95" spans="1:71" x14ac:dyDescent="0.25">
      <c r="A95" s="269" t="s">
        <v>205</v>
      </c>
      <c r="B95" s="416">
        <v>176.58</v>
      </c>
      <c r="C95" s="272">
        <v>1.35</v>
      </c>
      <c r="D95" s="243">
        <f t="shared" si="16"/>
        <v>130.80000000000001</v>
      </c>
      <c r="E95" s="416">
        <v>7.66</v>
      </c>
      <c r="F95" s="416">
        <v>50</v>
      </c>
      <c r="G95" s="416">
        <v>30</v>
      </c>
      <c r="H95" s="415" t="s">
        <v>406</v>
      </c>
      <c r="I95" s="330" cm="1">
        <f t="array" ref="I95">IF(OR(F95="",G95=""),"",
(INDEX(CHOOSE(MATCH($E$68,{0.4;0.3;0.2;0.1;0},0),$T$49:$AG$58,$T$62:$AG$71,$T$75:$AG$84,$T$88:$AG$97,$T$101:$AG$110),
MATCH(G95,$S$62:$S$71,1),
MATCH(F95,$T$61:$AG$61,1))
*(INDEX($T$61:$AG$61,MATCH(F95,$T$61:$AG$61,1)+1)-F95)
*(INDEX($S$62:$S$71,MATCH(G95,$S$62:$S$71,1)+1)-G95)
+
INDEX(CHOOSE(MATCH($E$68,{0.4;0.3;0.2;0.1;0},0),$T$49:$AG$58,$T$62:$AG$71,$T$75:$AG$84,$T$88:$AG$97,$T$101:$AG$110),
MATCH(G95,$S$62:$S$71,1)+1,
MATCH(F95,$T$61:$AG$61,1))
*(INDEX($T$61:$AG$61,MATCH(F95,$T$61:$AG$61,1)+1)-F95)
*(G95-INDEX($S$62:$S$71,MATCH(G95,$S$62:$S$71,1)))
+
INDEX(CHOOSE(MATCH($E$68,{0.4;0.3;0.2;0.1;0},0),$T$49:$AG$58,$T$62:$AG$71,$T$75:$AG$84,$T$88:$AG$97,$T$101:$AG$110),
MATCH(G95,$S$62:$S$71,1),
MATCH(F95,$T$61:$AG$61,1)+1)
*(F95-INDEX($T$61:$AG$61,MATCH(F95,$T$61:$AG$61,1)))
*(INDEX($S$62:$S$71,MATCH(G95,$S$62:$S$71,1)+1)-G95)
+
INDEX(CHOOSE(MATCH($E$68,{0.4;0.3;0.2;0.1;0},0),$T$49:$AG$58,$T$62:$AG$71,$T$75:$AG$84,$T$88:$AG$97,$T$101:$AG$110),
MATCH(G95,$S$62:$S$71,1)+1,
MATCH(F95,$T$61:$AG$61,1)+1)
*(F95-INDEX($T$61:$AG$61,MATCH(F95,$T$61:$AG$61,1)))
*(G95-INDEX($S$62:$S$71,MATCH(G95,$S$62:$S$71,1))))
/
((INDEX($T$61:$AG$61,MATCH(F95,$T$61:$AG$61,1)+1)-INDEX($T$61:$AG$61,MATCH(F95,$T$61:$AG$61,1)))
*
(INDEX($S$62:$S$71,MATCH(G95,$S$62:$S$71,1)+1)-INDEX($S$62:$S$71,MATCH(G95,$S$62:$S$71,1)))))</f>
        <v>0.79</v>
      </c>
      <c r="K95" s="243">
        <f t="shared" si="17"/>
        <v>103.33</v>
      </c>
      <c r="L95" s="330" cm="1">
        <f t="array" ref="L95">IF(OR(F95="",G95=""),"",
IF((INDEX($T$61:$AG$61,MIN(MATCH(F95,$T$61:$AG$61,1)+1,31))-INDEX($T$61:$AG$61,MATCH(F95,$T$61:$AG$61,1)))*(INDEX($AH$62:$AH$71,MIN(MATCH(G95,$AH$62:$AH$71,-1)+1,10))-INDEX($AH$62:$AH$71,MATCH(G95,$AH$62:$AH$71,-1)))=0,
INDEX(CHOOSE(MATCH($E$68,{0.4;0.3;0.2;0.1;0},0),
        $T$49:$AG$58,$T$62:$AG$71,$T$75:$AG$84,$T$88:$AG$97,$T$101:$AG$110),
   MATCH(G95,$AH$62:$AH$71,-1),
   MATCH(F95,$T$61:$AG$61,1)),
(INDEX(CHOOSE(MATCH($E$68,{0.4;0.3;0.2;0.1;0},0),
        $T$49:$AG$58,$T$62:$AG$71,$T$75:$AG$84,$T$88:$AG$97,$T$101:$AG$110),
   MATCH(G95,$AH$62:$AH$71,-1),
   MATCH(F95,$T$61:$AG$61,1))
 *(INDEX($T$61:$AG$61,MIN(MATCH(F95,$T$61:$AG$61,1)+1,31))-F95)
 *(INDEX($AH$62:$AH$71,MIN(MATCH(G95,$AH$62:$AH$71,-1)+1,10))-G95)
+
 INDEX(CHOOSE(MATCH($E$68,{0.4;0.3;0.2;0.1;0},0),
        $T$49:$AG$58,$T$62:$AG$71,$T$75:$AG$84,$T$88:$AG$97,$T$101:$AG$110),
   MIN(MATCH(G95,$AH$62:$AH$71,-1)+1,10),
   MATCH(F95,$T$61:$AG$61,1))
 *(INDEX($T$61:$AG$61,MIN(MATCH(F95,$T$61:$AG$61,1)+1,31))-F95)
 *(G95-INDEX($AH$62:$AH$71,MATCH(G95,$AH$62:$AH$71,-1)))
+
 INDEX(CHOOSE(MATCH($E$68,{0.4;0.3;0.2;0.1;0},0),
        $T$49:$AG$58,$T$62:$AG$71,$T$75:$AG$84,$T$88:$AG$97,$T$101:$AG$110),
   MATCH(G95,$AH$62:$AH$71,-1),
   MIN(MATCH(F95,$T$61:$AG$61,1)+1,31))
 *(F95-INDEX($T$61:$AG$61,MATCH(F95,$T$61:$AG$61,1)))
 *(INDEX($AH$62:$AH$71,MIN(MATCH(G95,$AH$62:$AH$71,-1)+1,10))-G95)
+
 INDEX(CHOOSE(MATCH($E$68,{0.4;0.3;0.2;0.1;0},0),
        $T$49:$AG$58,$T$62:$AG$71,$T$75:$AG$84,$T$88:$AG$97,$T$101:$AG$110),
   MIN(MATCH(G95,$AH$62:$AH$71,-1)+1,10),
   MIN(MATCH(F95,$T$61:$AG$61,1)+1,31))
 *(F95-INDEX($T$61:$AG$61,MATCH(F95,$T$61:$AG$61,1)))
 *(G95-INDEX($AH$62:$AH$71,MATCH(G95,$AH$62:$AH$71,-1))))
 /
 ((INDEX($T$61:$AG$61,MIN(MATCH(F95,$T$61:$AG$61,1)+1,31))-INDEX($T$61:$AG$61,MATCH(F95,$T$61:$AG$61,1)))
  *
 (INDEX($AH$62:$AH$71,MIN(MATCH(G95,$AH$62:$AH$71,-1)+1,10))-INDEX($AH$62:$AH$71,MATCH(G95,$AH$62:$AH$71,-1))))))</f>
        <v>0.55000000000000004</v>
      </c>
      <c r="M95" s="243">
        <f t="shared" si="18"/>
        <v>71.94</v>
      </c>
      <c r="N95" s="243">
        <f t="shared" si="19"/>
        <v>1001.92</v>
      </c>
      <c r="O95" s="255"/>
      <c r="P95" s="255"/>
      <c r="Q95" s="255"/>
      <c r="R95" s="255"/>
      <c r="S95" s="282">
        <v>70</v>
      </c>
      <c r="T95">
        <v>0.25</v>
      </c>
      <c r="U95">
        <v>0.28999999999999998</v>
      </c>
      <c r="V95">
        <v>0.32</v>
      </c>
      <c r="W95">
        <v>0.34</v>
      </c>
      <c r="X95">
        <v>0.35</v>
      </c>
      <c r="Y95">
        <v>0.36</v>
      </c>
      <c r="Z95">
        <v>0.35</v>
      </c>
      <c r="AA95">
        <v>0.33</v>
      </c>
      <c r="AB95">
        <v>0.31</v>
      </c>
      <c r="AC95">
        <v>0.3</v>
      </c>
      <c r="AD95">
        <v>0.26</v>
      </c>
      <c r="AE95">
        <v>0.21</v>
      </c>
      <c r="AF95">
        <v>0.16</v>
      </c>
      <c r="AG95">
        <v>0.1</v>
      </c>
      <c r="AH95" s="284">
        <v>20</v>
      </c>
      <c r="AI95" s="255"/>
      <c r="AJ95" s="255"/>
      <c r="AK95" s="282">
        <v>10.6</v>
      </c>
      <c r="AL95">
        <v>9.1920000000000002</v>
      </c>
      <c r="AM95" s="255"/>
      <c r="AN95" s="255"/>
      <c r="AO95" s="255"/>
      <c r="AP95" s="284">
        <v>5.6</v>
      </c>
      <c r="AQ95">
        <v>17.98</v>
      </c>
      <c r="AR95" s="255"/>
      <c r="AS95" s="255"/>
      <c r="AT95">
        <v>9132.7000000000007</v>
      </c>
      <c r="AU95">
        <v>18790</v>
      </c>
      <c r="AV95">
        <v>7.92</v>
      </c>
      <c r="AW95" s="255"/>
      <c r="AX95">
        <v>9856.4</v>
      </c>
      <c r="AY95">
        <v>22048</v>
      </c>
      <c r="AZ95">
        <v>7.98</v>
      </c>
      <c r="BA95" s="255"/>
      <c r="BB95">
        <v>9857.9</v>
      </c>
      <c r="BC95">
        <v>22051</v>
      </c>
      <c r="BD95">
        <v>7.98</v>
      </c>
      <c r="BE95" s="255"/>
      <c r="BF95">
        <v>9856.4</v>
      </c>
      <c r="BG95">
        <v>22048</v>
      </c>
      <c r="BH95">
        <v>7.98</v>
      </c>
      <c r="BI95" s="255"/>
      <c r="BJ95">
        <v>9645.5</v>
      </c>
      <c r="BK95">
        <v>22933</v>
      </c>
      <c r="BL95">
        <v>8.3000000000000007</v>
      </c>
      <c r="BM95" s="255"/>
      <c r="BN95" s="255"/>
      <c r="BO95" s="255"/>
      <c r="BP95" s="255"/>
      <c r="BQ95" s="255"/>
      <c r="BR95" s="255"/>
      <c r="BS95" s="255"/>
    </row>
    <row r="96" spans="1:71" x14ac:dyDescent="0.25">
      <c r="A96" s="269" t="s">
        <v>206</v>
      </c>
      <c r="B96" s="416">
        <v>176.58</v>
      </c>
      <c r="C96" s="272">
        <v>1.35</v>
      </c>
      <c r="D96" s="243">
        <f t="shared" si="16"/>
        <v>130.80000000000001</v>
      </c>
      <c r="E96" s="416">
        <v>3.46</v>
      </c>
      <c r="F96" s="416">
        <v>60</v>
      </c>
      <c r="G96" s="416">
        <v>20</v>
      </c>
      <c r="H96" s="415" t="s">
        <v>406</v>
      </c>
      <c r="I96" s="330" cm="1">
        <f t="array" ref="I96">IF(OR(F96="",G96=""),"",
(INDEX(CHOOSE(MATCH($E$68,{0.4;0.3;0.2;0.1;0},0),$T$49:$AG$58,$T$62:$AG$71,$T$75:$AG$84,$T$88:$AG$97,$T$101:$AG$110),
MATCH(G96,$S$62:$S$71,1),
MATCH(F96,$T$61:$AG$61,1))
*(INDEX($T$61:$AG$61,MATCH(F96,$T$61:$AG$61,1)+1)-F96)
*(INDEX($S$62:$S$71,MATCH(G96,$S$62:$S$71,1)+1)-G96)
+
INDEX(CHOOSE(MATCH($E$68,{0.4;0.3;0.2;0.1;0},0),$T$49:$AG$58,$T$62:$AG$71,$T$75:$AG$84,$T$88:$AG$97,$T$101:$AG$110),
MATCH(G96,$S$62:$S$71,1)+1,
MATCH(F96,$T$61:$AG$61,1))
*(INDEX($T$61:$AG$61,MATCH(F96,$T$61:$AG$61,1)+1)-F96)
*(G96-INDEX($S$62:$S$71,MATCH(G96,$S$62:$S$71,1)))
+
INDEX(CHOOSE(MATCH($E$68,{0.4;0.3;0.2;0.1;0},0),$T$49:$AG$58,$T$62:$AG$71,$T$75:$AG$84,$T$88:$AG$97,$T$101:$AG$110),
MATCH(G96,$S$62:$S$71,1),
MATCH(F96,$T$61:$AG$61,1)+1)
*(F96-INDEX($T$61:$AG$61,MATCH(F96,$T$61:$AG$61,1)))
*(INDEX($S$62:$S$71,MATCH(G96,$S$62:$S$71,1)+1)-G96)
+
INDEX(CHOOSE(MATCH($E$68,{0.4;0.3;0.2;0.1;0},0),$T$49:$AG$58,$T$62:$AG$71,$T$75:$AG$84,$T$88:$AG$97,$T$101:$AG$110),
MATCH(G96,$S$62:$S$71,1)+1,
MATCH(F96,$T$61:$AG$61,1)+1)
*(F96-INDEX($T$61:$AG$61,MATCH(F96,$T$61:$AG$61,1)))
*(G96-INDEX($S$62:$S$71,MATCH(G96,$S$62:$S$71,1))))
/
((INDEX($T$61:$AG$61,MATCH(F96,$T$61:$AG$61,1)+1)-INDEX($T$61:$AG$61,MATCH(F96,$T$61:$AG$61,1)))
*
(INDEX($S$62:$S$71,MATCH(G96,$S$62:$S$71,1)+1)-INDEX($S$62:$S$71,MATCH(G96,$S$62:$S$71,1)))))</f>
        <v>0.73</v>
      </c>
      <c r="K96" s="243">
        <f t="shared" si="17"/>
        <v>95.48</v>
      </c>
      <c r="L96" s="330" cm="1">
        <f t="array" ref="L96">IF(OR(F96="",G96=""),"",
IF((INDEX($T$61:$AG$61,MIN(MATCH(F96,$T$61:$AG$61,1)+1,31))-INDEX($T$61:$AG$61,MATCH(F96,$T$61:$AG$61,1)))*(INDEX($AH$62:$AH$71,MIN(MATCH(G96,$AH$62:$AH$71,-1)+1,10))-INDEX($AH$62:$AH$71,MATCH(G96,$AH$62:$AH$71,-1)))=0,
INDEX(CHOOSE(MATCH($E$68,{0.4;0.3;0.2;0.1;0},0),
        $T$49:$AG$58,$T$62:$AG$71,$T$75:$AG$84,$T$88:$AG$97,$T$101:$AG$110),
   MATCH(G96,$AH$62:$AH$71,-1),
   MATCH(F96,$T$61:$AG$61,1)),
(INDEX(CHOOSE(MATCH($E$68,{0.4;0.3;0.2;0.1;0},0),
        $T$49:$AG$58,$T$62:$AG$71,$T$75:$AG$84,$T$88:$AG$97,$T$101:$AG$110),
   MATCH(G96,$AH$62:$AH$71,-1),
   MATCH(F96,$T$61:$AG$61,1))
 *(INDEX($T$61:$AG$61,MIN(MATCH(F96,$T$61:$AG$61,1)+1,31))-F96)
 *(INDEX($AH$62:$AH$71,MIN(MATCH(G96,$AH$62:$AH$71,-1)+1,10))-G96)
+
 INDEX(CHOOSE(MATCH($E$68,{0.4;0.3;0.2;0.1;0},0),
        $T$49:$AG$58,$T$62:$AG$71,$T$75:$AG$84,$T$88:$AG$97,$T$101:$AG$110),
   MIN(MATCH(G96,$AH$62:$AH$71,-1)+1,10),
   MATCH(F96,$T$61:$AG$61,1))
 *(INDEX($T$61:$AG$61,MIN(MATCH(F96,$T$61:$AG$61,1)+1,31))-F96)
 *(G96-INDEX($AH$62:$AH$71,MATCH(G96,$AH$62:$AH$71,-1)))
+
 INDEX(CHOOSE(MATCH($E$68,{0.4;0.3;0.2;0.1;0},0),
        $T$49:$AG$58,$T$62:$AG$71,$T$75:$AG$84,$T$88:$AG$97,$T$101:$AG$110),
   MATCH(G96,$AH$62:$AH$71,-1),
   MIN(MATCH(F96,$T$61:$AG$61,1)+1,31))
 *(F96-INDEX($T$61:$AG$61,MATCH(F96,$T$61:$AG$61,1)))
 *(INDEX($AH$62:$AH$71,MIN(MATCH(G96,$AH$62:$AH$71,-1)+1,10))-G96)
+
 INDEX(CHOOSE(MATCH($E$68,{0.4;0.3;0.2;0.1;0},0),
        $T$49:$AG$58,$T$62:$AG$71,$T$75:$AG$84,$T$88:$AG$97,$T$101:$AG$110),
   MIN(MATCH(G96,$AH$62:$AH$71,-1)+1,10),
   MIN(MATCH(F96,$T$61:$AG$61,1)+1,31))
 *(F96-INDEX($T$61:$AG$61,MATCH(F96,$T$61:$AG$61,1)))
 *(G96-INDEX($AH$62:$AH$71,MATCH(G96,$AH$62:$AH$71,-1))))
 /
 ((INDEX($T$61:$AG$61,MIN(MATCH(F96,$T$61:$AG$61,1)+1,31))-INDEX($T$61:$AG$61,MATCH(F96,$T$61:$AG$61,1)))
  *
 (INDEX($AH$62:$AH$71,MIN(MATCH(G96,$AH$62:$AH$71,-1)+1,10))-INDEX($AH$62:$AH$71,MATCH(G96,$AH$62:$AH$71,-1))))))</f>
        <v>0.43</v>
      </c>
      <c r="M96" s="243">
        <f t="shared" si="18"/>
        <v>56.24</v>
      </c>
      <c r="N96" s="243">
        <f t="shared" si="19"/>
        <v>452.56</v>
      </c>
      <c r="O96" s="255"/>
      <c r="P96" s="255"/>
      <c r="Q96" s="255"/>
      <c r="R96" s="255"/>
      <c r="S96" s="282">
        <v>80</v>
      </c>
      <c r="T96">
        <v>0.1</v>
      </c>
      <c r="U96">
        <v>0.13</v>
      </c>
      <c r="V96">
        <v>0.15</v>
      </c>
      <c r="W96">
        <v>0.17</v>
      </c>
      <c r="X96">
        <v>0.19</v>
      </c>
      <c r="Y96">
        <v>0.2</v>
      </c>
      <c r="Z96">
        <v>0.2</v>
      </c>
      <c r="AA96">
        <v>0.2</v>
      </c>
      <c r="AB96">
        <v>0.19</v>
      </c>
      <c r="AC96">
        <v>0.19</v>
      </c>
      <c r="AD96">
        <v>0.17</v>
      </c>
      <c r="AE96">
        <v>0.15</v>
      </c>
      <c r="AF96">
        <v>0.13</v>
      </c>
      <c r="AG96">
        <v>0.1</v>
      </c>
      <c r="AH96" s="284">
        <v>10</v>
      </c>
      <c r="AI96" s="255"/>
      <c r="AJ96" s="255"/>
      <c r="AK96" s="282">
        <v>10.7</v>
      </c>
      <c r="AL96">
        <v>9.1630000000000003</v>
      </c>
      <c r="AM96" s="255"/>
      <c r="AN96" s="255"/>
      <c r="AO96" s="255"/>
      <c r="AP96" s="284">
        <v>5.7</v>
      </c>
      <c r="AQ96">
        <v>17.78</v>
      </c>
      <c r="AR96" s="255"/>
      <c r="AS96" s="255"/>
      <c r="AT96">
        <v>8970.9</v>
      </c>
      <c r="AU96">
        <v>19240</v>
      </c>
      <c r="AV96">
        <v>7.82</v>
      </c>
      <c r="AW96" s="255"/>
      <c r="AX96">
        <v>9689.2999999999993</v>
      </c>
      <c r="AY96">
        <v>22586</v>
      </c>
      <c r="AZ96">
        <v>7.88</v>
      </c>
      <c r="BA96" s="255"/>
      <c r="BB96">
        <v>9690.7999999999993</v>
      </c>
      <c r="BC96">
        <v>22589</v>
      </c>
      <c r="BD96">
        <v>7.89</v>
      </c>
      <c r="BE96" s="255"/>
      <c r="BF96">
        <v>9689.4</v>
      </c>
      <c r="BG96">
        <v>22586</v>
      </c>
      <c r="BH96">
        <v>7.88</v>
      </c>
      <c r="BI96" s="255"/>
      <c r="BJ96">
        <v>9467.4</v>
      </c>
      <c r="BK96">
        <v>23482</v>
      </c>
      <c r="BL96">
        <v>8.1999999999999993</v>
      </c>
      <c r="BM96" s="255"/>
      <c r="BN96" s="255"/>
      <c r="BO96" s="255"/>
      <c r="BP96" s="255"/>
      <c r="BQ96" s="255"/>
      <c r="BR96" s="255"/>
      <c r="BS96" s="255"/>
    </row>
    <row r="97" spans="1:71" x14ac:dyDescent="0.25">
      <c r="A97" s="269" t="s">
        <v>207</v>
      </c>
      <c r="B97" s="416"/>
      <c r="C97" s="272">
        <v>1.35</v>
      </c>
      <c r="D97" s="243">
        <f t="shared" si="16"/>
        <v>0</v>
      </c>
      <c r="E97" s="416"/>
      <c r="F97" s="416"/>
      <c r="G97" s="416"/>
      <c r="H97" s="415" t="s">
        <v>367</v>
      </c>
      <c r="I97" s="330" t="str" cm="1">
        <f t="array" ref="I97">IF(OR(F97="",G97=""),"",
(INDEX(CHOOSE(MATCH($E$68,{0.4;0.3;0.2;0.1;0},0),$T$49:$AG$58,$T$62:$AG$71,$T$75:$AG$84,$T$88:$AG$97,$T$101:$AG$110),
MATCH(G97,$S$62:$S$71,1),
MATCH(F97,$T$61:$AG$61,1))
*(INDEX($T$61:$AG$61,MATCH(F97,$T$61:$AG$61,1)+1)-F97)
*(INDEX($S$62:$S$71,MATCH(G97,$S$62:$S$71,1)+1)-G97)
+
INDEX(CHOOSE(MATCH($E$68,{0.4;0.3;0.2;0.1;0},0),$T$49:$AG$58,$T$62:$AG$71,$T$75:$AG$84,$T$88:$AG$97,$T$101:$AG$110),
MATCH(G97,$S$62:$S$71,1)+1,
MATCH(F97,$T$61:$AG$61,1))
*(INDEX($T$61:$AG$61,MATCH(F97,$T$61:$AG$61,1)+1)-F97)
*(G97-INDEX($S$62:$S$71,MATCH(G97,$S$62:$S$71,1)))
+
INDEX(CHOOSE(MATCH($E$68,{0.4;0.3;0.2;0.1;0},0),$T$49:$AG$58,$T$62:$AG$71,$T$75:$AG$84,$T$88:$AG$97,$T$101:$AG$110),
MATCH(G97,$S$62:$S$71,1),
MATCH(F97,$T$61:$AG$61,1)+1)
*(F97-INDEX($T$61:$AG$61,MATCH(F97,$T$61:$AG$61,1)))
*(INDEX($S$62:$S$71,MATCH(G97,$S$62:$S$71,1)+1)-G97)
+
INDEX(CHOOSE(MATCH($E$68,{0.4;0.3;0.2;0.1;0},0),$T$49:$AG$58,$T$62:$AG$71,$T$75:$AG$84,$T$88:$AG$97,$T$101:$AG$110),
MATCH(G97,$S$62:$S$71,1)+1,
MATCH(F97,$T$61:$AG$61,1)+1)
*(F97-INDEX($T$61:$AG$61,MATCH(F97,$T$61:$AG$61,1)))
*(G97-INDEX($S$62:$S$71,MATCH(G97,$S$62:$S$71,1))))
/
((INDEX($T$61:$AG$61,MATCH(F97,$T$61:$AG$61,1)+1)-INDEX($T$61:$AG$61,MATCH(F97,$T$61:$AG$61,1)))
*
(INDEX($S$62:$S$71,MATCH(G97,$S$62:$S$71,1)+1)-INDEX($S$62:$S$71,MATCH(G97,$S$62:$S$71,1)))))</f>
        <v/>
      </c>
      <c r="K97" s="243">
        <f t="shared" si="17"/>
        <v>0</v>
      </c>
      <c r="L97" s="330" t="str" cm="1">
        <f t="array" ref="L97">IF(OR(F97="",G97=""),"",
IF((INDEX($T$61:$AG$61,MIN(MATCH(F97,$T$61:$AG$61,1)+1,31))-INDEX($T$61:$AG$61,MATCH(F97,$T$61:$AG$61,1)))*(INDEX($AH$62:$AH$71,MIN(MATCH(G97,$AH$62:$AH$71,-1)+1,10))-INDEX($AH$62:$AH$71,MATCH(G97,$AH$62:$AH$71,-1)))=0,
INDEX(CHOOSE(MATCH($E$68,{0.4;0.3;0.2;0.1;0},0),
        $T$49:$AG$58,$T$62:$AG$71,$T$75:$AG$84,$T$88:$AG$97,$T$101:$AG$110),
   MATCH(G97,$AH$62:$AH$71,-1),
   MATCH(F97,$T$61:$AG$61,1)),
(INDEX(CHOOSE(MATCH($E$68,{0.4;0.3;0.2;0.1;0},0),
        $T$49:$AG$58,$T$62:$AG$71,$T$75:$AG$84,$T$88:$AG$97,$T$101:$AG$110),
   MATCH(G97,$AH$62:$AH$71,-1),
   MATCH(F97,$T$61:$AG$61,1))
 *(INDEX($T$61:$AG$61,MIN(MATCH(F97,$T$61:$AG$61,1)+1,31))-F97)
 *(INDEX($AH$62:$AH$71,MIN(MATCH(G97,$AH$62:$AH$71,-1)+1,10))-G97)
+
 INDEX(CHOOSE(MATCH($E$68,{0.4;0.3;0.2;0.1;0},0),
        $T$49:$AG$58,$T$62:$AG$71,$T$75:$AG$84,$T$88:$AG$97,$T$101:$AG$110),
   MIN(MATCH(G97,$AH$62:$AH$71,-1)+1,10),
   MATCH(F97,$T$61:$AG$61,1))
 *(INDEX($T$61:$AG$61,MIN(MATCH(F97,$T$61:$AG$61,1)+1,31))-F97)
 *(G97-INDEX($AH$62:$AH$71,MATCH(G97,$AH$62:$AH$71,-1)))
+
 INDEX(CHOOSE(MATCH($E$68,{0.4;0.3;0.2;0.1;0},0),
        $T$49:$AG$58,$T$62:$AG$71,$T$75:$AG$84,$T$88:$AG$97,$T$101:$AG$110),
   MATCH(G97,$AH$62:$AH$71,-1),
   MIN(MATCH(F97,$T$61:$AG$61,1)+1,31))
 *(F97-INDEX($T$61:$AG$61,MATCH(F97,$T$61:$AG$61,1)))
 *(INDEX($AH$62:$AH$71,MIN(MATCH(G97,$AH$62:$AH$71,-1)+1,10))-G97)
+
 INDEX(CHOOSE(MATCH($E$68,{0.4;0.3;0.2;0.1;0},0),
        $T$49:$AG$58,$T$62:$AG$71,$T$75:$AG$84,$T$88:$AG$97,$T$101:$AG$110),
   MIN(MATCH(G97,$AH$62:$AH$71,-1)+1,10),
   MIN(MATCH(F97,$T$61:$AG$61,1)+1,31))
 *(F97-INDEX($T$61:$AG$61,MATCH(F97,$T$61:$AG$61,1)))
 *(G97-INDEX($AH$62:$AH$71,MATCH(G97,$AH$62:$AH$71,-1))))
 /
 ((INDEX($T$61:$AG$61,MIN(MATCH(F97,$T$61:$AG$61,1)+1,31))-INDEX($T$61:$AG$61,MATCH(F97,$T$61:$AG$61,1)))
  *
 (INDEX($AH$62:$AH$71,MIN(MATCH(G97,$AH$62:$AH$71,-1)+1,10))-INDEX($AH$62:$AH$71,MATCH(G97,$AH$62:$AH$71,-1))))))</f>
        <v/>
      </c>
      <c r="M97" s="243">
        <f t="shared" si="18"/>
        <v>0</v>
      </c>
      <c r="N97" s="243">
        <f t="shared" si="19"/>
        <v>0</v>
      </c>
      <c r="O97" s="255"/>
      <c r="P97" s="255"/>
      <c r="Q97" s="255"/>
      <c r="R97" s="255"/>
      <c r="S97" s="282">
        <v>90</v>
      </c>
      <c r="T97">
        <v>-0.05</v>
      </c>
      <c r="U97">
        <v>-0.03</v>
      </c>
      <c r="V97">
        <v>-0.02</v>
      </c>
      <c r="W97">
        <v>0</v>
      </c>
      <c r="X97">
        <v>0.02</v>
      </c>
      <c r="Y97">
        <v>0.03</v>
      </c>
      <c r="Z97">
        <v>0.05</v>
      </c>
      <c r="AA97">
        <v>0.06</v>
      </c>
      <c r="AB97">
        <v>7.0000000000000007E-2</v>
      </c>
      <c r="AC97">
        <v>0.08</v>
      </c>
      <c r="AD97">
        <v>0.09</v>
      </c>
      <c r="AE97">
        <v>0.09</v>
      </c>
      <c r="AF97">
        <v>0.1</v>
      </c>
      <c r="AG97">
        <v>0.1</v>
      </c>
      <c r="AH97" s="284">
        <v>0</v>
      </c>
      <c r="AI97" s="255"/>
      <c r="AJ97" s="255"/>
      <c r="AK97" s="282">
        <v>10.8</v>
      </c>
      <c r="AL97">
        <v>9.1340000000000003</v>
      </c>
      <c r="AM97" s="255"/>
      <c r="AN97" s="255"/>
      <c r="AO97" s="255"/>
      <c r="AP97" s="284">
        <v>5.8</v>
      </c>
      <c r="AQ97">
        <v>17.59</v>
      </c>
      <c r="AR97" s="255"/>
      <c r="AS97" s="255"/>
      <c r="AT97">
        <v>8808.7000000000007</v>
      </c>
      <c r="AU97">
        <v>19667</v>
      </c>
      <c r="AV97">
        <v>7.72</v>
      </c>
      <c r="AW97" s="255"/>
      <c r="AX97">
        <v>9518.7999999999993</v>
      </c>
      <c r="AY97">
        <v>23118</v>
      </c>
      <c r="AZ97">
        <v>7.78</v>
      </c>
      <c r="BA97" s="255"/>
      <c r="BB97">
        <v>9520.2000000000007</v>
      </c>
      <c r="BC97">
        <v>23122</v>
      </c>
      <c r="BD97">
        <v>7.78</v>
      </c>
      <c r="BE97" s="255"/>
      <c r="BF97">
        <v>9518.7999999999993</v>
      </c>
      <c r="BG97">
        <v>23118</v>
      </c>
      <c r="BH97">
        <v>7.78</v>
      </c>
      <c r="BI97" s="255"/>
      <c r="BJ97">
        <v>9285.5</v>
      </c>
      <c r="BK97">
        <v>24015</v>
      </c>
      <c r="BL97">
        <v>8.1</v>
      </c>
      <c r="BM97" s="255"/>
      <c r="BN97" s="255"/>
      <c r="BO97" s="255"/>
      <c r="BP97" s="255"/>
      <c r="BQ97" s="255"/>
      <c r="BR97" s="255"/>
      <c r="BS97" s="255"/>
    </row>
    <row r="98" spans="1:71" x14ac:dyDescent="0.25">
      <c r="A98" s="269" t="s">
        <v>208</v>
      </c>
      <c r="B98" s="416"/>
      <c r="C98" s="272">
        <v>1.35</v>
      </c>
      <c r="D98" s="243">
        <f t="shared" si="16"/>
        <v>0</v>
      </c>
      <c r="E98" s="416"/>
      <c r="F98" s="416"/>
      <c r="G98" s="416"/>
      <c r="H98" s="415" t="s">
        <v>367</v>
      </c>
      <c r="I98" s="330" t="str" cm="1">
        <f t="array" ref="I98">IF(OR(F98="",G98=""),"",
(INDEX(CHOOSE(MATCH($E$68,{0.4;0.3;0.2;0.1;0},0),$T$49:$AG$58,$T$62:$AG$71,$T$75:$AG$84,$T$88:$AG$97,$T$101:$AG$110),
MATCH(G98,$S$62:$S$71,1),
MATCH(F98,$T$61:$AG$61,1))
*(INDEX($T$61:$AG$61,MATCH(F98,$T$61:$AG$61,1)+1)-F98)
*(INDEX($S$62:$S$71,MATCH(G98,$S$62:$S$71,1)+1)-G98)
+
INDEX(CHOOSE(MATCH($E$68,{0.4;0.3;0.2;0.1;0},0),$T$49:$AG$58,$T$62:$AG$71,$T$75:$AG$84,$T$88:$AG$97,$T$101:$AG$110),
MATCH(G98,$S$62:$S$71,1)+1,
MATCH(F98,$T$61:$AG$61,1))
*(INDEX($T$61:$AG$61,MATCH(F98,$T$61:$AG$61,1)+1)-F98)
*(G98-INDEX($S$62:$S$71,MATCH(G98,$S$62:$S$71,1)))
+
INDEX(CHOOSE(MATCH($E$68,{0.4;0.3;0.2;0.1;0},0),$T$49:$AG$58,$T$62:$AG$71,$T$75:$AG$84,$T$88:$AG$97,$T$101:$AG$110),
MATCH(G98,$S$62:$S$71,1),
MATCH(F98,$T$61:$AG$61,1)+1)
*(F98-INDEX($T$61:$AG$61,MATCH(F98,$T$61:$AG$61,1)))
*(INDEX($S$62:$S$71,MATCH(G98,$S$62:$S$71,1)+1)-G98)
+
INDEX(CHOOSE(MATCH($E$68,{0.4;0.3;0.2;0.1;0},0),$T$49:$AG$58,$T$62:$AG$71,$T$75:$AG$84,$T$88:$AG$97,$T$101:$AG$110),
MATCH(G98,$S$62:$S$71,1)+1,
MATCH(F98,$T$61:$AG$61,1)+1)
*(F98-INDEX($T$61:$AG$61,MATCH(F98,$T$61:$AG$61,1)))
*(G98-INDEX($S$62:$S$71,MATCH(G98,$S$62:$S$71,1))))
/
((INDEX($T$61:$AG$61,MATCH(F98,$T$61:$AG$61,1)+1)-INDEX($T$61:$AG$61,MATCH(F98,$T$61:$AG$61,1)))
*
(INDEX($S$62:$S$71,MATCH(G98,$S$62:$S$71,1)+1)-INDEX($S$62:$S$71,MATCH(G98,$S$62:$S$71,1)))))</f>
        <v/>
      </c>
      <c r="K98" s="243">
        <f t="shared" si="17"/>
        <v>0</v>
      </c>
      <c r="L98" s="330" t="str" cm="1">
        <f t="array" ref="L98">IF(OR(F98="",G98=""),"",
IF((INDEX($T$61:$AG$61,MIN(MATCH(F98,$T$61:$AG$61,1)+1,31))-INDEX($T$61:$AG$61,MATCH(F98,$T$61:$AG$61,1)))*(INDEX($AH$62:$AH$71,MIN(MATCH(G98,$AH$62:$AH$71,-1)+1,10))-INDEX($AH$62:$AH$71,MATCH(G98,$AH$62:$AH$71,-1)))=0,
INDEX(CHOOSE(MATCH($E$68,{0.4;0.3;0.2;0.1;0},0),
        $T$49:$AG$58,$T$62:$AG$71,$T$75:$AG$84,$T$88:$AG$97,$T$101:$AG$110),
   MATCH(G98,$AH$62:$AH$71,-1),
   MATCH(F98,$T$61:$AG$61,1)),
(INDEX(CHOOSE(MATCH($E$68,{0.4;0.3;0.2;0.1;0},0),
        $T$49:$AG$58,$T$62:$AG$71,$T$75:$AG$84,$T$88:$AG$97,$T$101:$AG$110),
   MATCH(G98,$AH$62:$AH$71,-1),
   MATCH(F98,$T$61:$AG$61,1))
 *(INDEX($T$61:$AG$61,MIN(MATCH(F98,$T$61:$AG$61,1)+1,31))-F98)
 *(INDEX($AH$62:$AH$71,MIN(MATCH(G98,$AH$62:$AH$71,-1)+1,10))-G98)
+
 INDEX(CHOOSE(MATCH($E$68,{0.4;0.3;0.2;0.1;0},0),
        $T$49:$AG$58,$T$62:$AG$71,$T$75:$AG$84,$T$88:$AG$97,$T$101:$AG$110),
   MIN(MATCH(G98,$AH$62:$AH$71,-1)+1,10),
   MATCH(F98,$T$61:$AG$61,1))
 *(INDEX($T$61:$AG$61,MIN(MATCH(F98,$T$61:$AG$61,1)+1,31))-F98)
 *(G98-INDEX($AH$62:$AH$71,MATCH(G98,$AH$62:$AH$71,-1)))
+
 INDEX(CHOOSE(MATCH($E$68,{0.4;0.3;0.2;0.1;0},0),
        $T$49:$AG$58,$T$62:$AG$71,$T$75:$AG$84,$T$88:$AG$97,$T$101:$AG$110),
   MATCH(G98,$AH$62:$AH$71,-1),
   MIN(MATCH(F98,$T$61:$AG$61,1)+1,31))
 *(F98-INDEX($T$61:$AG$61,MATCH(F98,$T$61:$AG$61,1)))
 *(INDEX($AH$62:$AH$71,MIN(MATCH(G98,$AH$62:$AH$71,-1)+1,10))-G98)
+
 INDEX(CHOOSE(MATCH($E$68,{0.4;0.3;0.2;0.1;0},0),
        $T$49:$AG$58,$T$62:$AG$71,$T$75:$AG$84,$T$88:$AG$97,$T$101:$AG$110),
   MIN(MATCH(G98,$AH$62:$AH$71,-1)+1,10),
   MIN(MATCH(F98,$T$61:$AG$61,1)+1,31))
 *(F98-INDEX($T$61:$AG$61,MATCH(F98,$T$61:$AG$61,1)))
 *(G98-INDEX($AH$62:$AH$71,MATCH(G98,$AH$62:$AH$71,-1))))
 /
 ((INDEX($T$61:$AG$61,MIN(MATCH(F98,$T$61:$AG$61,1)+1,31))-INDEX($T$61:$AG$61,MATCH(F98,$T$61:$AG$61,1)))
  *
 (INDEX($AH$62:$AH$71,MIN(MATCH(G98,$AH$62:$AH$71,-1)+1,10))-INDEX($AH$62:$AH$71,MATCH(G98,$AH$62:$AH$71,-1))))))</f>
        <v/>
      </c>
      <c r="M98" s="243">
        <f t="shared" si="18"/>
        <v>0</v>
      </c>
      <c r="N98" s="243">
        <f t="shared" si="19"/>
        <v>0</v>
      </c>
      <c r="O98" s="255"/>
      <c r="P98" s="255"/>
      <c r="Q98" s="255"/>
      <c r="R98" s="255"/>
      <c r="S98" s="255"/>
      <c r="T98" s="255"/>
      <c r="U98" s="255"/>
      <c r="V98" s="255"/>
      <c r="W98" s="255"/>
      <c r="X98" s="255"/>
      <c r="Y98" s="255"/>
      <c r="Z98" s="255"/>
      <c r="AA98" s="255"/>
      <c r="AB98" s="255"/>
      <c r="AC98" s="255"/>
      <c r="AD98" s="255"/>
      <c r="AE98" s="255"/>
      <c r="AF98" s="255"/>
      <c r="AG98" s="255"/>
      <c r="AH98" s="255"/>
      <c r="AI98" s="255"/>
      <c r="AJ98" s="255"/>
      <c r="AK98" s="282">
        <v>10.9</v>
      </c>
      <c r="AL98">
        <v>9.1050000000000004</v>
      </c>
      <c r="AM98" s="255"/>
      <c r="AN98" s="255"/>
      <c r="AO98" s="255"/>
      <c r="AP98" s="284">
        <v>5.9</v>
      </c>
      <c r="AQ98">
        <v>17.41</v>
      </c>
      <c r="AR98" s="255"/>
      <c r="AS98" s="255"/>
      <c r="AT98">
        <v>8646.5</v>
      </c>
      <c r="AU98">
        <v>20070</v>
      </c>
      <c r="AV98">
        <v>7.62</v>
      </c>
      <c r="AW98" s="255"/>
      <c r="AX98">
        <v>9347.7000000000007</v>
      </c>
      <c r="AY98">
        <v>23635</v>
      </c>
      <c r="AZ98">
        <v>7.68</v>
      </c>
      <c r="BA98" s="255"/>
      <c r="BB98">
        <v>9349.1</v>
      </c>
      <c r="BC98">
        <v>23639</v>
      </c>
      <c r="BD98">
        <v>7.68</v>
      </c>
      <c r="BE98" s="255"/>
      <c r="BF98">
        <v>9347.7999999999993</v>
      </c>
      <c r="BG98">
        <v>23636</v>
      </c>
      <c r="BH98">
        <v>7.68</v>
      </c>
      <c r="BI98" s="255"/>
      <c r="BJ98">
        <v>9103.1</v>
      </c>
      <c r="BK98">
        <v>24519</v>
      </c>
      <c r="BL98">
        <v>7.99</v>
      </c>
      <c r="BM98" s="255"/>
      <c r="BN98" s="255"/>
      <c r="BO98" s="255"/>
      <c r="BP98" s="255"/>
      <c r="BQ98" s="255"/>
      <c r="BR98" s="255"/>
      <c r="BS98" s="255"/>
    </row>
    <row r="99" spans="1:71" x14ac:dyDescent="0.25">
      <c r="A99" s="255"/>
      <c r="B99" s="255"/>
      <c r="C99" s="255"/>
      <c r="D99" s="255"/>
      <c r="E99" s="255"/>
      <c r="F99" s="255"/>
      <c r="G99" s="255"/>
      <c r="H99" s="255"/>
      <c r="I99" s="237" t="s">
        <v>243</v>
      </c>
      <c r="J99" s="239" t="s">
        <v>187</v>
      </c>
      <c r="K99" s="243">
        <f>K93+K94+K95+K96+K97+K98</f>
        <v>397.62</v>
      </c>
      <c r="L99" s="255"/>
      <c r="M99" s="278" t="s">
        <v>241</v>
      </c>
      <c r="N99" s="243">
        <f>N93+N94+N95+N96+N97+N98</f>
        <v>2908.96</v>
      </c>
      <c r="O99" s="255"/>
      <c r="P99" s="255"/>
      <c r="Q99" s="255"/>
      <c r="R99" s="255"/>
      <c r="S99" s="280">
        <v>0</v>
      </c>
      <c r="T99" s="255"/>
      <c r="U99" s="255"/>
      <c r="V99" s="255"/>
      <c r="W99" s="255"/>
      <c r="X99" s="255"/>
      <c r="Y99" s="255"/>
      <c r="Z99" s="255"/>
      <c r="AA99" s="255"/>
      <c r="AB99" s="255"/>
      <c r="AC99" s="255"/>
      <c r="AD99" s="255"/>
      <c r="AE99" s="255"/>
      <c r="AF99" s="255"/>
      <c r="AG99" s="255"/>
      <c r="AH99" s="255"/>
      <c r="AI99" s="255"/>
      <c r="AJ99" s="255"/>
      <c r="AK99" s="282">
        <v>11</v>
      </c>
      <c r="AL99">
        <v>9.077</v>
      </c>
      <c r="AM99" s="255"/>
      <c r="AN99" s="255"/>
      <c r="AO99" s="255"/>
      <c r="AP99" s="284">
        <v>6</v>
      </c>
      <c r="AQ99">
        <v>17.239999999999998</v>
      </c>
      <c r="AR99" s="255"/>
      <c r="AS99" s="255"/>
      <c r="AT99">
        <v>8484.2999999999993</v>
      </c>
      <c r="AU99">
        <v>20450</v>
      </c>
      <c r="AV99">
        <v>7.52</v>
      </c>
      <c r="AW99" s="255"/>
      <c r="AX99">
        <v>9176.7000000000007</v>
      </c>
      <c r="AY99">
        <v>24137</v>
      </c>
      <c r="AZ99">
        <v>7.58</v>
      </c>
      <c r="BA99" s="255"/>
      <c r="BB99">
        <v>9178.1</v>
      </c>
      <c r="BC99">
        <v>24142</v>
      </c>
      <c r="BD99">
        <v>7.58</v>
      </c>
      <c r="BE99" s="255"/>
      <c r="BF99">
        <v>9176.7000000000007</v>
      </c>
      <c r="BG99">
        <v>24137</v>
      </c>
      <c r="BH99">
        <v>7.58</v>
      </c>
      <c r="BI99" s="255"/>
      <c r="BJ99">
        <v>8920.7000000000007</v>
      </c>
      <c r="BK99">
        <v>24996</v>
      </c>
      <c r="BL99">
        <v>7.89</v>
      </c>
      <c r="BM99" s="255"/>
      <c r="BN99" s="255"/>
      <c r="BO99" s="255"/>
      <c r="BP99" s="255"/>
      <c r="BQ99" s="255"/>
      <c r="BR99" s="255"/>
      <c r="BS99" s="255"/>
    </row>
    <row r="100" spans="1:71" x14ac:dyDescent="0.25">
      <c r="A100" s="255"/>
      <c r="B100" s="255"/>
      <c r="C100" s="239" t="s">
        <v>220</v>
      </c>
      <c r="D100" s="243">
        <f>SUMIF(H86:H91,"Pr",M86:M91) + SUMIF(H93:H98,"Pr",M93:M98)+SUMIF(H86:H91,"-",M86:M91)+SUMIF(H93:H98,"-",M93:M98)</f>
        <v>256.36</v>
      </c>
      <c r="E100" s="255"/>
      <c r="F100" s="239" t="s">
        <v>221</v>
      </c>
      <c r="G100" s="243">
        <f>SUMIF(H86:H91,"Pp",M86:M91) + SUMIF(H93:H98,"Pp",M93:M98)+SUMIF(H86:H91,"-",M86:M91)+SUMIF(H93:H98,"-",M93:M98)</f>
        <v>256.36</v>
      </c>
      <c r="H100" s="255"/>
      <c r="I100" s="256"/>
      <c r="J100" s="255"/>
      <c r="K100" s="277"/>
      <c r="L100" s="255"/>
      <c r="M100" s="256"/>
      <c r="N100" s="277"/>
      <c r="O100" s="255"/>
      <c r="P100" s="255"/>
      <c r="Q100" s="255"/>
      <c r="R100" s="255"/>
      <c r="S100" t="s">
        <v>319</v>
      </c>
      <c r="T100" s="240">
        <v>-30</v>
      </c>
      <c r="U100" s="240">
        <v>-20</v>
      </c>
      <c r="V100" s="240">
        <v>-10</v>
      </c>
      <c r="W100" s="240">
        <v>0</v>
      </c>
      <c r="X100" s="240">
        <v>10</v>
      </c>
      <c r="Y100" s="240">
        <v>20</v>
      </c>
      <c r="Z100" s="240">
        <v>30</v>
      </c>
      <c r="AA100" s="240">
        <v>40</v>
      </c>
      <c r="AB100" s="240">
        <v>45</v>
      </c>
      <c r="AC100" s="240">
        <v>50</v>
      </c>
      <c r="AD100" s="240">
        <v>60</v>
      </c>
      <c r="AE100" s="240">
        <v>70</v>
      </c>
      <c r="AF100" s="240">
        <v>80</v>
      </c>
      <c r="AG100" s="240">
        <v>90</v>
      </c>
      <c r="AH100" t="s">
        <v>320</v>
      </c>
      <c r="AI100" s="255"/>
      <c r="AJ100" s="255"/>
      <c r="AK100" s="282">
        <v>11.1</v>
      </c>
      <c r="AL100">
        <v>9.048</v>
      </c>
      <c r="AM100" s="255"/>
      <c r="AN100" s="255"/>
      <c r="AO100" s="255"/>
      <c r="AP100" s="284">
        <v>6.1</v>
      </c>
      <c r="AQ100">
        <v>17.079999999999998</v>
      </c>
      <c r="AR100" s="255"/>
      <c r="AS100" s="255"/>
      <c r="AT100">
        <v>8322.1</v>
      </c>
      <c r="AU100">
        <v>20807</v>
      </c>
      <c r="AV100">
        <v>7.41</v>
      </c>
      <c r="AW100" s="255"/>
      <c r="AX100">
        <v>9005.7000000000007</v>
      </c>
      <c r="AY100">
        <v>24624</v>
      </c>
      <c r="AZ100">
        <v>7.48</v>
      </c>
      <c r="BA100" s="255"/>
      <c r="BB100">
        <v>9007</v>
      </c>
      <c r="BC100">
        <v>24629</v>
      </c>
      <c r="BD100">
        <v>7.48</v>
      </c>
      <c r="BE100" s="255"/>
      <c r="BF100">
        <v>9005.7000000000007</v>
      </c>
      <c r="BG100">
        <v>24624</v>
      </c>
      <c r="BH100">
        <v>7.48</v>
      </c>
      <c r="BI100" s="255"/>
      <c r="BJ100">
        <v>8738.4</v>
      </c>
      <c r="BK100">
        <v>25440</v>
      </c>
      <c r="BL100">
        <v>7.78</v>
      </c>
      <c r="BM100" s="255"/>
      <c r="BN100" s="255"/>
      <c r="BO100" s="255"/>
      <c r="BP100" s="255"/>
      <c r="BQ100" s="255"/>
      <c r="BR100" s="255"/>
      <c r="BS100" s="255"/>
    </row>
    <row r="101" spans="1:71" x14ac:dyDescent="0.25">
      <c r="A101" s="255"/>
      <c r="B101" s="255"/>
      <c r="C101" s="256"/>
      <c r="D101" s="277"/>
      <c r="E101" s="255"/>
      <c r="F101" s="256"/>
      <c r="G101" s="277"/>
      <c r="H101" s="255"/>
      <c r="I101" s="255"/>
      <c r="J101" s="255"/>
      <c r="K101" s="255"/>
      <c r="L101" s="255"/>
      <c r="M101" s="255"/>
      <c r="N101" s="255"/>
      <c r="O101" s="255"/>
      <c r="P101" s="255"/>
      <c r="Q101" s="255"/>
      <c r="R101" s="255"/>
      <c r="S101" s="282">
        <v>0</v>
      </c>
      <c r="T101">
        <v>0.87</v>
      </c>
      <c r="U101">
        <v>0.94</v>
      </c>
      <c r="V101">
        <v>0.98</v>
      </c>
      <c r="W101">
        <v>1</v>
      </c>
      <c r="X101">
        <v>0.98</v>
      </c>
      <c r="Y101">
        <v>0.94</v>
      </c>
      <c r="Z101">
        <v>0.87</v>
      </c>
      <c r="AA101">
        <v>0.77</v>
      </c>
      <c r="AB101">
        <v>0.71</v>
      </c>
      <c r="AC101">
        <v>0.64</v>
      </c>
      <c r="AD101">
        <v>0.5</v>
      </c>
      <c r="AE101">
        <v>0.34</v>
      </c>
      <c r="AF101">
        <v>0.17</v>
      </c>
      <c r="AG101">
        <v>0</v>
      </c>
      <c r="AH101" s="284">
        <v>90</v>
      </c>
      <c r="AI101" s="255"/>
      <c r="AJ101" s="255"/>
      <c r="AK101" s="282">
        <v>11.2</v>
      </c>
      <c r="AL101">
        <v>9.0190000000000001</v>
      </c>
      <c r="AM101" s="255"/>
      <c r="AN101" s="255"/>
      <c r="AO101" s="255"/>
      <c r="AP101" s="284">
        <v>6.2</v>
      </c>
      <c r="AQ101">
        <v>16.97</v>
      </c>
      <c r="AR101" s="255"/>
      <c r="AS101" s="255"/>
      <c r="AT101">
        <v>8159.9</v>
      </c>
      <c r="AU101">
        <v>21142</v>
      </c>
      <c r="AV101">
        <v>7.31</v>
      </c>
      <c r="AW101" s="255"/>
      <c r="AX101">
        <v>8834.6</v>
      </c>
      <c r="AY101">
        <v>25097</v>
      </c>
      <c r="AZ101">
        <v>7.38</v>
      </c>
      <c r="BA101" s="255"/>
      <c r="BB101">
        <v>8835.9</v>
      </c>
      <c r="BC101">
        <v>25101</v>
      </c>
      <c r="BD101">
        <v>7.38</v>
      </c>
      <c r="BE101" s="255"/>
      <c r="BF101">
        <v>8834.7000000000007</v>
      </c>
      <c r="BG101">
        <v>25097</v>
      </c>
      <c r="BH101">
        <v>7.38</v>
      </c>
      <c r="BI101" s="255"/>
      <c r="BJ101">
        <v>8556</v>
      </c>
      <c r="BK101">
        <v>25852</v>
      </c>
      <c r="BL101">
        <v>7.68</v>
      </c>
      <c r="BM101" s="255"/>
      <c r="BN101" s="255"/>
      <c r="BO101" s="255"/>
      <c r="BP101" s="255"/>
      <c r="BQ101" s="255"/>
      <c r="BR101" s="255"/>
      <c r="BS101" s="255"/>
    </row>
    <row r="102" spans="1:71" x14ac:dyDescent="0.25">
      <c r="A102" s="255"/>
      <c r="B102" s="239" t="s">
        <v>222</v>
      </c>
      <c r="C102" s="240"/>
      <c r="D102" s="240"/>
      <c r="E102" s="255"/>
      <c r="F102" s="255"/>
      <c r="G102" s="255"/>
      <c r="H102" s="255"/>
      <c r="I102" s="255"/>
      <c r="J102" s="255"/>
      <c r="K102" s="255"/>
      <c r="L102" s="255"/>
      <c r="M102" s="255"/>
      <c r="N102" s="255"/>
      <c r="O102" s="255"/>
      <c r="P102" s="255"/>
      <c r="Q102" s="255"/>
      <c r="R102" s="255"/>
      <c r="S102" s="282">
        <v>10</v>
      </c>
      <c r="T102">
        <v>0.85</v>
      </c>
      <c r="U102">
        <v>0.93</v>
      </c>
      <c r="V102">
        <v>0.97</v>
      </c>
      <c r="W102">
        <v>0.98</v>
      </c>
      <c r="X102">
        <v>0.97</v>
      </c>
      <c r="Y102">
        <v>0.93</v>
      </c>
      <c r="Z102">
        <v>0.85</v>
      </c>
      <c r="AA102">
        <v>0.75</v>
      </c>
      <c r="AB102">
        <v>0.7</v>
      </c>
      <c r="AC102">
        <v>0.63</v>
      </c>
      <c r="AD102">
        <v>0.49</v>
      </c>
      <c r="AE102">
        <v>0.34</v>
      </c>
      <c r="AF102">
        <v>0.17</v>
      </c>
      <c r="AG102">
        <v>0</v>
      </c>
      <c r="AH102" s="284">
        <v>80</v>
      </c>
      <c r="AI102" s="255"/>
      <c r="AJ102" s="255"/>
      <c r="AK102" s="282">
        <v>11.3</v>
      </c>
      <c r="AL102">
        <v>8.99</v>
      </c>
      <c r="AM102" s="255"/>
      <c r="AN102" s="255"/>
      <c r="AO102" s="255"/>
      <c r="AP102" s="284">
        <v>6.3</v>
      </c>
      <c r="AQ102">
        <v>16.82</v>
      </c>
      <c r="AR102" s="255"/>
      <c r="AS102" s="255"/>
      <c r="AT102">
        <v>7997.7</v>
      </c>
      <c r="AU102">
        <v>21456</v>
      </c>
      <c r="AV102">
        <v>7.21</v>
      </c>
      <c r="AW102" s="255"/>
      <c r="AX102">
        <v>8663.6</v>
      </c>
      <c r="AY102">
        <v>25555</v>
      </c>
      <c r="AZ102">
        <v>7.28</v>
      </c>
      <c r="BA102" s="255"/>
      <c r="BB102">
        <v>8664.9</v>
      </c>
      <c r="BC102">
        <v>25560</v>
      </c>
      <c r="BD102">
        <v>7.28</v>
      </c>
      <c r="BE102" s="255"/>
      <c r="BF102">
        <v>8663.6</v>
      </c>
      <c r="BG102">
        <v>25555</v>
      </c>
      <c r="BH102">
        <v>7.28</v>
      </c>
      <c r="BI102" s="255"/>
      <c r="BJ102">
        <v>8373.6</v>
      </c>
      <c r="BK102">
        <v>26228</v>
      </c>
      <c r="BL102">
        <v>7.57</v>
      </c>
      <c r="BM102" s="255"/>
      <c r="BN102" s="255"/>
      <c r="BO102" s="255"/>
      <c r="BP102" s="255"/>
      <c r="BQ102" s="255"/>
      <c r="BR102" s="255"/>
      <c r="BS102" s="255"/>
    </row>
    <row r="103" spans="1:71" x14ac:dyDescent="0.25">
      <c r="A103" s="255"/>
      <c r="B103" s="255"/>
      <c r="C103" s="239" t="s">
        <v>160</v>
      </c>
      <c r="D103" s="239" t="s">
        <v>45</v>
      </c>
      <c r="E103" s="239" t="s">
        <v>225</v>
      </c>
      <c r="F103" s="239" t="s">
        <v>219</v>
      </c>
      <c r="G103" s="239" t="s">
        <v>226</v>
      </c>
      <c r="H103" s="239" t="s">
        <v>227</v>
      </c>
      <c r="I103" s="239" t="s">
        <v>228</v>
      </c>
      <c r="J103" s="240"/>
      <c r="K103" s="239" t="s">
        <v>209</v>
      </c>
      <c r="L103" s="239" t="s">
        <v>229</v>
      </c>
      <c r="M103" s="239" t="s">
        <v>230</v>
      </c>
      <c r="N103" s="255"/>
      <c r="O103" s="255"/>
      <c r="P103" s="255"/>
      <c r="Q103" s="255"/>
      <c r="R103" s="255"/>
      <c r="S103" s="282">
        <v>20</v>
      </c>
      <c r="T103">
        <v>0.81</v>
      </c>
      <c r="U103">
        <v>0.88</v>
      </c>
      <c r="V103">
        <v>0.93</v>
      </c>
      <c r="W103">
        <v>0.94</v>
      </c>
      <c r="X103">
        <v>0.93</v>
      </c>
      <c r="Y103">
        <v>0.88</v>
      </c>
      <c r="Z103">
        <v>0.81</v>
      </c>
      <c r="AA103">
        <v>0.72</v>
      </c>
      <c r="AB103">
        <v>0.66</v>
      </c>
      <c r="AC103">
        <v>0.6</v>
      </c>
      <c r="AD103">
        <v>0.47</v>
      </c>
      <c r="AE103">
        <v>0.32</v>
      </c>
      <c r="AF103">
        <v>0.16</v>
      </c>
      <c r="AG103">
        <v>0</v>
      </c>
      <c r="AH103" s="284">
        <v>70</v>
      </c>
      <c r="AI103" s="255"/>
      <c r="AJ103" s="255"/>
      <c r="AK103" s="282">
        <v>11.4</v>
      </c>
      <c r="AL103">
        <v>8.9610000000000003</v>
      </c>
      <c r="AM103" s="255"/>
      <c r="AN103" s="255"/>
      <c r="AO103" s="255"/>
      <c r="AP103" s="284">
        <v>6.4</v>
      </c>
      <c r="AQ103">
        <v>16.670000000000002</v>
      </c>
      <c r="AR103" s="255"/>
      <c r="AS103" s="255"/>
      <c r="AT103">
        <v>7835.5</v>
      </c>
      <c r="AU103">
        <v>21751</v>
      </c>
      <c r="AV103">
        <v>7.11</v>
      </c>
      <c r="AW103" s="255"/>
      <c r="AX103">
        <v>8492.6</v>
      </c>
      <c r="AY103">
        <v>26000</v>
      </c>
      <c r="AZ103">
        <v>7.18</v>
      </c>
      <c r="BA103" s="255"/>
      <c r="BB103">
        <v>8493.7999999999993</v>
      </c>
      <c r="BC103">
        <v>26005</v>
      </c>
      <c r="BD103">
        <v>7.18</v>
      </c>
      <c r="BE103" s="255"/>
      <c r="BF103">
        <v>8492.6</v>
      </c>
      <c r="BG103">
        <v>26000</v>
      </c>
      <c r="BH103">
        <v>7.18</v>
      </c>
      <c r="BI103" s="255"/>
      <c r="BJ103">
        <v>8191.2</v>
      </c>
      <c r="BK103">
        <v>26570</v>
      </c>
      <c r="BL103">
        <v>7.47</v>
      </c>
      <c r="BM103" s="255"/>
      <c r="BN103" s="255"/>
      <c r="BO103" s="255"/>
      <c r="BP103" s="255"/>
      <c r="BQ103" s="255"/>
      <c r="BR103" s="255"/>
      <c r="BS103" s="255"/>
    </row>
    <row r="104" spans="1:71" x14ac:dyDescent="0.25">
      <c r="A104" s="255"/>
      <c r="B104" s="239" t="s">
        <v>223</v>
      </c>
      <c r="C104" s="273">
        <f>E$68</f>
        <v>0.3</v>
      </c>
      <c r="D104" s="273">
        <f>E$67</f>
        <v>290</v>
      </c>
      <c r="E104" s="272">
        <v>9.81</v>
      </c>
      <c r="F104" s="274">
        <f>K99</f>
        <v>397.62</v>
      </c>
      <c r="G104" s="271"/>
      <c r="H104" s="271"/>
      <c r="I104" s="271"/>
      <c r="K104" s="243">
        <f>TRUNC(C104*D104*E104+F104,1)</f>
        <v>1251</v>
      </c>
      <c r="L104" s="243">
        <f>G81</f>
        <v>1548.2</v>
      </c>
      <c r="M104" s="238"/>
      <c r="N104" s="255"/>
      <c r="O104" s="255"/>
      <c r="P104" s="255"/>
      <c r="Q104" s="255"/>
      <c r="R104" s="255"/>
      <c r="S104" s="282">
        <v>30</v>
      </c>
      <c r="T104">
        <v>0.75</v>
      </c>
      <c r="U104">
        <v>0.81</v>
      </c>
      <c r="V104">
        <v>0.85</v>
      </c>
      <c r="W104">
        <v>0.87</v>
      </c>
      <c r="X104">
        <v>0.85</v>
      </c>
      <c r="Y104">
        <v>0.81</v>
      </c>
      <c r="Z104">
        <v>0.75</v>
      </c>
      <c r="AA104">
        <v>0.66</v>
      </c>
      <c r="AB104">
        <v>0.61</v>
      </c>
      <c r="AC104">
        <v>0.56000000000000005</v>
      </c>
      <c r="AD104">
        <v>0.43</v>
      </c>
      <c r="AE104">
        <v>0.3</v>
      </c>
      <c r="AF104">
        <v>0.15</v>
      </c>
      <c r="AG104">
        <v>0</v>
      </c>
      <c r="AH104" s="284">
        <v>60</v>
      </c>
      <c r="AI104" s="255"/>
      <c r="AJ104" s="255"/>
      <c r="AK104" s="282">
        <v>11.5</v>
      </c>
      <c r="AL104">
        <v>8.9309999999999992</v>
      </c>
      <c r="AM104" s="255"/>
      <c r="AN104" s="255"/>
      <c r="AO104" s="255"/>
      <c r="AP104" s="284">
        <v>6.5</v>
      </c>
      <c r="AQ104">
        <v>16.53</v>
      </c>
      <c r="AR104" s="255"/>
      <c r="AS104" s="255"/>
      <c r="AT104">
        <v>7673.3</v>
      </c>
      <c r="AU104">
        <v>22029</v>
      </c>
      <c r="AV104">
        <v>7.01</v>
      </c>
      <c r="AW104" s="255"/>
      <c r="AX104">
        <v>8321.5</v>
      </c>
      <c r="AY104">
        <v>26430</v>
      </c>
      <c r="AZ104">
        <v>7.08</v>
      </c>
      <c r="BA104" s="255"/>
      <c r="BB104">
        <v>8322.7000000000007</v>
      </c>
      <c r="BC104">
        <v>26435</v>
      </c>
      <c r="BD104">
        <v>7.08</v>
      </c>
      <c r="BE104" s="255"/>
      <c r="BF104">
        <v>8321.6</v>
      </c>
      <c r="BG104">
        <v>26430</v>
      </c>
      <c r="BH104">
        <v>7.08</v>
      </c>
      <c r="BI104" s="255"/>
      <c r="BJ104">
        <v>8008.8</v>
      </c>
      <c r="BK104">
        <v>26880</v>
      </c>
      <c r="BL104">
        <v>7.36</v>
      </c>
      <c r="BM104" s="255"/>
      <c r="BN104" s="255"/>
      <c r="BO104" s="255"/>
      <c r="BP104" s="255"/>
      <c r="BQ104" s="255"/>
      <c r="BR104" s="255"/>
      <c r="BS104" s="255"/>
    </row>
    <row r="105" spans="1:71" x14ac:dyDescent="0.25">
      <c r="A105" s="255"/>
      <c r="B105" s="239" t="s">
        <v>224</v>
      </c>
      <c r="C105" s="273">
        <f t="shared" ref="C105:C107" si="20">E$68</f>
        <v>0.3</v>
      </c>
      <c r="D105" s="273">
        <f t="shared" ref="D105:D107" si="21">E$67</f>
        <v>290</v>
      </c>
      <c r="E105" s="272">
        <v>9.81</v>
      </c>
      <c r="F105" s="274">
        <f>K92</f>
        <v>397.62</v>
      </c>
      <c r="G105" s="271"/>
      <c r="H105" s="271"/>
      <c r="I105" s="271"/>
      <c r="K105" s="243">
        <f>TRUNC(C105*D105*E105+F105,1)</f>
        <v>1251</v>
      </c>
      <c r="L105" s="243">
        <f>G81</f>
        <v>1548.2</v>
      </c>
      <c r="M105" s="238"/>
      <c r="N105" s="255"/>
      <c r="O105" s="255"/>
      <c r="P105" s="255"/>
      <c r="Q105" s="255"/>
      <c r="R105" s="255"/>
      <c r="S105" s="282">
        <v>40</v>
      </c>
      <c r="T105">
        <v>0.66</v>
      </c>
      <c r="U105">
        <v>0.72</v>
      </c>
      <c r="V105">
        <v>0.75</v>
      </c>
      <c r="W105">
        <v>0.77</v>
      </c>
      <c r="X105">
        <v>0.75</v>
      </c>
      <c r="Y105">
        <v>0.72</v>
      </c>
      <c r="Z105">
        <v>0.66</v>
      </c>
      <c r="AA105">
        <v>0.59</v>
      </c>
      <c r="AB105">
        <v>0.54</v>
      </c>
      <c r="AC105">
        <v>0.49</v>
      </c>
      <c r="AD105">
        <v>0.38</v>
      </c>
      <c r="AE105">
        <v>0.26</v>
      </c>
      <c r="AF105">
        <v>0.13</v>
      </c>
      <c r="AG105">
        <v>0</v>
      </c>
      <c r="AH105" s="284">
        <v>50</v>
      </c>
      <c r="AI105" s="255"/>
      <c r="AJ105" s="255"/>
      <c r="AK105" s="282">
        <v>11.6</v>
      </c>
      <c r="AL105">
        <v>8.9009999999999998</v>
      </c>
      <c r="AM105" s="255"/>
      <c r="AN105" s="255"/>
      <c r="AO105" s="255"/>
      <c r="AP105" s="284">
        <v>6.6</v>
      </c>
      <c r="AQ105">
        <v>16.399999999999999</v>
      </c>
      <c r="AR105" s="255"/>
      <c r="AS105" s="255"/>
      <c r="AT105">
        <v>7511</v>
      </c>
      <c r="AU105">
        <v>22288</v>
      </c>
      <c r="AV105">
        <v>6.91</v>
      </c>
      <c r="AW105" s="255"/>
      <c r="AX105">
        <v>8150.5</v>
      </c>
      <c r="AY105">
        <v>26842</v>
      </c>
      <c r="AZ105">
        <v>6.98</v>
      </c>
      <c r="BA105" s="255"/>
      <c r="BB105">
        <v>8151.6</v>
      </c>
      <c r="BC105">
        <v>26848</v>
      </c>
      <c r="BD105">
        <v>6.98</v>
      </c>
      <c r="BE105" s="255"/>
      <c r="BF105">
        <v>8150.5</v>
      </c>
      <c r="BG105">
        <v>26843</v>
      </c>
      <c r="BH105">
        <v>6.98</v>
      </c>
      <c r="BI105" s="255"/>
      <c r="BJ105">
        <v>7826.4</v>
      </c>
      <c r="BK105">
        <v>27155</v>
      </c>
      <c r="BL105">
        <v>7.25</v>
      </c>
      <c r="BM105" s="255"/>
      <c r="BN105" s="255"/>
      <c r="BO105" s="255"/>
      <c r="BP105" s="255"/>
      <c r="BQ105" s="255"/>
      <c r="BR105" s="255"/>
      <c r="BS105" s="255"/>
    </row>
    <row r="106" spans="1:71" x14ac:dyDescent="0.25">
      <c r="A106" s="255"/>
      <c r="B106" s="239" t="s">
        <v>237</v>
      </c>
      <c r="C106" s="273">
        <f t="shared" si="20"/>
        <v>0.3</v>
      </c>
      <c r="D106" s="273">
        <f t="shared" si="21"/>
        <v>290</v>
      </c>
      <c r="E106" s="272">
        <v>9.81</v>
      </c>
      <c r="F106" s="271"/>
      <c r="G106" s="287">
        <f>IF(E68=0,0.2,IF(E68=0.1,0.5,IF(E68=0.2,0.7,IF(E68=0.3,0.8,IF(E68=0.4,0.85,IF(E68=0.5,0.9))))))</f>
        <v>0.8</v>
      </c>
      <c r="H106" s="243">
        <f>G106*G82</f>
        <v>1092.72</v>
      </c>
      <c r="I106" s="274">
        <f>G100</f>
        <v>256.36</v>
      </c>
      <c r="K106" s="243">
        <f>TRUNC(C107*(D107*E107-H107)+I106,1)</f>
        <v>782</v>
      </c>
      <c r="L106" s="243">
        <f>G80</f>
        <v>706.8</v>
      </c>
      <c r="M106" s="238"/>
      <c r="N106" s="255"/>
      <c r="O106" s="255"/>
      <c r="P106" s="255"/>
      <c r="Q106" s="255"/>
      <c r="R106" s="255"/>
      <c r="S106" s="282">
        <v>50</v>
      </c>
      <c r="T106">
        <v>0.56000000000000005</v>
      </c>
      <c r="U106">
        <v>0.6</v>
      </c>
      <c r="V106">
        <v>0.63</v>
      </c>
      <c r="W106">
        <v>0.64</v>
      </c>
      <c r="X106">
        <v>0.63</v>
      </c>
      <c r="Y106">
        <v>0.6</v>
      </c>
      <c r="Z106">
        <v>0.56000000000000005</v>
      </c>
      <c r="AA106">
        <v>0.49</v>
      </c>
      <c r="AB106">
        <v>0.45</v>
      </c>
      <c r="AC106">
        <v>0.41</v>
      </c>
      <c r="AD106">
        <v>0.32</v>
      </c>
      <c r="AE106">
        <v>0.22</v>
      </c>
      <c r="AF106">
        <v>0.11</v>
      </c>
      <c r="AG106">
        <v>0</v>
      </c>
      <c r="AH106" s="284">
        <v>40</v>
      </c>
      <c r="AI106" s="255"/>
      <c r="AJ106" s="255"/>
      <c r="AK106" s="282">
        <v>11.7</v>
      </c>
      <c r="AL106">
        <v>8.8710000000000004</v>
      </c>
      <c r="AM106" s="255"/>
      <c r="AN106" s="255"/>
      <c r="AO106" s="255"/>
      <c r="AP106" s="284">
        <v>6.7</v>
      </c>
      <c r="AQ106">
        <v>16.27</v>
      </c>
      <c r="AR106" s="255"/>
      <c r="AS106" s="255"/>
      <c r="AT106">
        <v>7348.8</v>
      </c>
      <c r="AU106">
        <v>22528</v>
      </c>
      <c r="AV106">
        <v>6.81</v>
      </c>
      <c r="AW106" s="255"/>
      <c r="AX106">
        <v>7979.4</v>
      </c>
      <c r="AY106">
        <v>27234</v>
      </c>
      <c r="AZ106">
        <v>6.87</v>
      </c>
      <c r="BA106" s="255"/>
      <c r="BB106">
        <v>7980.6</v>
      </c>
      <c r="BC106">
        <v>27239</v>
      </c>
      <c r="BD106">
        <v>6.87</v>
      </c>
      <c r="BE106" s="255"/>
      <c r="BF106">
        <v>7979.5</v>
      </c>
      <c r="BG106">
        <v>27234</v>
      </c>
      <c r="BH106">
        <v>6.87</v>
      </c>
      <c r="BI106" s="255"/>
      <c r="BJ106">
        <v>7644</v>
      </c>
      <c r="BK106">
        <v>27398</v>
      </c>
      <c r="BL106">
        <v>7.15</v>
      </c>
      <c r="BM106" s="255"/>
      <c r="BN106" s="255"/>
      <c r="BO106" s="255"/>
      <c r="BP106" s="255"/>
      <c r="BQ106" s="255"/>
      <c r="BR106" s="255"/>
      <c r="BS106" s="255"/>
    </row>
    <row r="107" spans="1:71" x14ac:dyDescent="0.25">
      <c r="A107" s="255"/>
      <c r="B107" s="239" t="s">
        <v>238</v>
      </c>
      <c r="C107" s="273">
        <f t="shared" si="20"/>
        <v>0.3</v>
      </c>
      <c r="D107" s="273">
        <f t="shared" si="21"/>
        <v>290</v>
      </c>
      <c r="E107" s="272">
        <v>9.81</v>
      </c>
      <c r="F107" s="271"/>
      <c r="G107" s="287">
        <f>IF(E68=0,0.2,IF(E68=0.1,0.5,IF(E68=0.2,0.7,IF(E68=0.3,0.8,IF(E68=0.4,0.85,IF(E68=0.5,0.9))))))</f>
        <v>0.8</v>
      </c>
      <c r="H107" s="243">
        <f>G107*G82</f>
        <v>1092.72</v>
      </c>
      <c r="I107" s="274">
        <f>D100</f>
        <v>256.36</v>
      </c>
      <c r="K107" s="243">
        <f>TRUNC(C106*(D106*E106-H106)+I107,1)</f>
        <v>782</v>
      </c>
      <c r="L107" s="243">
        <f>G80</f>
        <v>706.8</v>
      </c>
      <c r="M107" s="238"/>
      <c r="N107" s="255"/>
      <c r="O107" s="255"/>
      <c r="P107" s="255"/>
      <c r="Q107" s="255"/>
      <c r="R107" s="255"/>
      <c r="S107" s="282">
        <v>60</v>
      </c>
      <c r="T107">
        <v>0.43</v>
      </c>
      <c r="U107">
        <v>0.47</v>
      </c>
      <c r="V107">
        <v>0.49</v>
      </c>
      <c r="W107">
        <v>0.5</v>
      </c>
      <c r="X107">
        <v>0.49</v>
      </c>
      <c r="Y107">
        <v>0.47</v>
      </c>
      <c r="Z107">
        <v>0.43</v>
      </c>
      <c r="AA107">
        <v>0.38</v>
      </c>
      <c r="AB107">
        <v>0.35</v>
      </c>
      <c r="AC107">
        <v>0.32</v>
      </c>
      <c r="AD107">
        <v>0.25</v>
      </c>
      <c r="AE107">
        <v>0.17</v>
      </c>
      <c r="AF107">
        <v>0.09</v>
      </c>
      <c r="AG107">
        <v>0</v>
      </c>
      <c r="AH107" s="284">
        <v>30</v>
      </c>
      <c r="AI107" s="255"/>
      <c r="AJ107" s="255"/>
      <c r="AK107" s="282">
        <v>11.8</v>
      </c>
      <c r="AL107">
        <v>8.84</v>
      </c>
      <c r="AM107" s="255"/>
      <c r="AN107" s="255"/>
      <c r="AO107" s="255"/>
      <c r="AP107" s="284">
        <v>6.8</v>
      </c>
      <c r="AQ107">
        <v>16.14</v>
      </c>
      <c r="AR107" s="255"/>
      <c r="AS107" s="255"/>
      <c r="AT107">
        <v>7186.6</v>
      </c>
      <c r="AU107">
        <v>22749</v>
      </c>
      <c r="AV107">
        <v>6.71</v>
      </c>
      <c r="AW107" s="255"/>
      <c r="AX107">
        <v>7808.4</v>
      </c>
      <c r="AY107">
        <v>27604</v>
      </c>
      <c r="AZ107">
        <v>6.77</v>
      </c>
      <c r="BA107" s="255"/>
      <c r="BB107">
        <v>7809.5</v>
      </c>
      <c r="BC107">
        <v>27610</v>
      </c>
      <c r="BD107">
        <v>6.77</v>
      </c>
      <c r="BE107" s="255"/>
      <c r="BF107">
        <v>7808.4</v>
      </c>
      <c r="BG107">
        <v>27604</v>
      </c>
      <c r="BH107">
        <v>6.77</v>
      </c>
      <c r="BI107" s="255"/>
      <c r="BJ107">
        <v>7461.6</v>
      </c>
      <c r="BK107">
        <v>27609</v>
      </c>
      <c r="BL107">
        <v>7.04</v>
      </c>
      <c r="BM107" s="255"/>
      <c r="BN107" s="255"/>
      <c r="BO107" s="255"/>
      <c r="BP107" s="255"/>
      <c r="BQ107" s="255"/>
      <c r="BR107" s="255"/>
      <c r="BS107" s="255"/>
    </row>
    <row r="108" spans="1:71" x14ac:dyDescent="0.25">
      <c r="A108" s="255"/>
      <c r="B108" s="255"/>
      <c r="C108" s="255"/>
      <c r="D108" s="239" t="s">
        <v>233</v>
      </c>
      <c r="E108" s="239" t="s">
        <v>45</v>
      </c>
      <c r="F108" s="239" t="s">
        <v>225</v>
      </c>
      <c r="G108" s="239" t="s">
        <v>234</v>
      </c>
      <c r="H108" s="239" t="s">
        <v>235</v>
      </c>
      <c r="I108" s="239" t="s">
        <v>209</v>
      </c>
      <c r="J108" s="240"/>
      <c r="K108" s="239" t="s">
        <v>236</v>
      </c>
      <c r="L108" s="240" t="s">
        <v>230</v>
      </c>
      <c r="M108" s="255"/>
      <c r="N108" s="255"/>
      <c r="O108" s="255"/>
      <c r="P108" s="255"/>
      <c r="Q108" s="255"/>
      <c r="R108" s="255"/>
      <c r="S108" s="282">
        <v>70</v>
      </c>
      <c r="T108">
        <v>0.3</v>
      </c>
      <c r="U108">
        <v>0.32</v>
      </c>
      <c r="V108">
        <v>0.34</v>
      </c>
      <c r="W108">
        <v>0.34</v>
      </c>
      <c r="X108">
        <v>0.34</v>
      </c>
      <c r="Y108">
        <v>0.32</v>
      </c>
      <c r="Z108">
        <v>0.3</v>
      </c>
      <c r="AA108">
        <v>0.26</v>
      </c>
      <c r="AB108">
        <v>0.24</v>
      </c>
      <c r="AC108">
        <v>0.22</v>
      </c>
      <c r="AD108">
        <v>0.17</v>
      </c>
      <c r="AE108">
        <v>0.12</v>
      </c>
      <c r="AF108">
        <v>0.06</v>
      </c>
      <c r="AG108">
        <v>0</v>
      </c>
      <c r="AH108" s="284">
        <v>20</v>
      </c>
      <c r="AI108" s="255"/>
      <c r="AJ108" s="255"/>
      <c r="AK108" s="282">
        <v>11.9</v>
      </c>
      <c r="AL108">
        <v>8.8089999999999993</v>
      </c>
      <c r="AM108" s="255"/>
      <c r="AN108" s="255"/>
      <c r="AO108" s="255"/>
      <c r="AP108" s="284">
        <v>6.9</v>
      </c>
      <c r="AQ108">
        <v>16.03</v>
      </c>
      <c r="AR108" s="255"/>
      <c r="AS108" s="255"/>
      <c r="AT108">
        <v>7024.4</v>
      </c>
      <c r="AU108">
        <v>22954</v>
      </c>
      <c r="AV108">
        <v>6.6</v>
      </c>
      <c r="AW108" s="255"/>
      <c r="AX108">
        <v>7637.4</v>
      </c>
      <c r="AY108">
        <v>27954</v>
      </c>
      <c r="AZ108">
        <v>6.67</v>
      </c>
      <c r="BA108" s="255"/>
      <c r="BB108">
        <v>7638.4</v>
      </c>
      <c r="BC108">
        <v>27960</v>
      </c>
      <c r="BD108">
        <v>6.67</v>
      </c>
      <c r="BE108" s="255"/>
      <c r="BF108">
        <v>7637.4</v>
      </c>
      <c r="BG108">
        <v>27954</v>
      </c>
      <c r="BH108">
        <v>6.67</v>
      </c>
      <c r="BI108" s="255"/>
      <c r="BJ108">
        <v>7279.2</v>
      </c>
      <c r="BK108">
        <v>27790</v>
      </c>
      <c r="BL108">
        <v>6.94</v>
      </c>
      <c r="BM108" s="255"/>
      <c r="BN108" s="255"/>
      <c r="BO108" s="255"/>
      <c r="BP108" s="255"/>
      <c r="BQ108" s="255"/>
      <c r="BR108" s="255"/>
      <c r="BS108" s="255"/>
    </row>
    <row r="109" spans="1:71" x14ac:dyDescent="0.25">
      <c r="A109" s="255"/>
      <c r="B109" s="239" t="s">
        <v>231</v>
      </c>
      <c r="C109" s="240"/>
      <c r="D109" s="273">
        <f>E71</f>
        <v>4</v>
      </c>
      <c r="E109" s="273">
        <f>E$67</f>
        <v>290</v>
      </c>
      <c r="F109" s="272">
        <v>9.81</v>
      </c>
      <c r="G109" s="243">
        <f>TRUNC(0.9*N99,2)</f>
        <v>2618.06</v>
      </c>
      <c r="H109" s="275"/>
      <c r="I109" s="243">
        <f>TRUNC(D109*E109*F109+G109,1)</f>
        <v>13997.6</v>
      </c>
      <c r="J109" s="206"/>
      <c r="K109" s="243">
        <f>TRUNC(G81*E69,2)</f>
        <v>5109.0600000000004</v>
      </c>
      <c r="L109" s="238"/>
      <c r="M109" s="255"/>
      <c r="N109" s="255"/>
      <c r="O109" s="255"/>
      <c r="P109" s="255"/>
      <c r="Q109" s="255"/>
      <c r="R109" s="255"/>
      <c r="S109" s="282">
        <v>80</v>
      </c>
      <c r="T109">
        <v>0.15</v>
      </c>
      <c r="U109">
        <v>0.16</v>
      </c>
      <c r="V109">
        <v>0.17</v>
      </c>
      <c r="W109">
        <v>0.17</v>
      </c>
      <c r="X109">
        <v>0.17</v>
      </c>
      <c r="Y109">
        <v>0.16</v>
      </c>
      <c r="Z109">
        <v>0.15</v>
      </c>
      <c r="AA109">
        <v>0.13</v>
      </c>
      <c r="AB109">
        <v>0.12</v>
      </c>
      <c r="AC109">
        <v>0.11</v>
      </c>
      <c r="AD109">
        <v>0.09</v>
      </c>
      <c r="AE109">
        <v>0.06</v>
      </c>
      <c r="AF109">
        <v>0.03</v>
      </c>
      <c r="AG109">
        <v>0</v>
      </c>
      <c r="AH109" s="284">
        <v>10</v>
      </c>
      <c r="AI109" s="255"/>
      <c r="AJ109" s="255"/>
      <c r="AK109" s="282">
        <v>12</v>
      </c>
      <c r="AL109">
        <v>8.7780000000000005</v>
      </c>
      <c r="AM109" s="255"/>
      <c r="AN109" s="255"/>
      <c r="AO109" s="255"/>
      <c r="AP109" s="284">
        <v>7</v>
      </c>
      <c r="AQ109">
        <v>15.91</v>
      </c>
      <c r="AR109" s="255"/>
      <c r="AS109" s="255"/>
      <c r="AT109">
        <v>6862.2</v>
      </c>
      <c r="AU109">
        <v>23143</v>
      </c>
      <c r="AV109">
        <v>6.5</v>
      </c>
      <c r="AW109" s="255"/>
      <c r="AX109">
        <v>7466.3</v>
      </c>
      <c r="AY109">
        <v>28285</v>
      </c>
      <c r="AZ109">
        <v>6.57</v>
      </c>
      <c r="BA109" s="255"/>
      <c r="BB109">
        <v>7467.3</v>
      </c>
      <c r="BC109">
        <v>28291</v>
      </c>
      <c r="BD109">
        <v>6.57</v>
      </c>
      <c r="BE109" s="255"/>
      <c r="BF109">
        <v>7466.4</v>
      </c>
      <c r="BG109">
        <v>28285</v>
      </c>
      <c r="BH109">
        <v>6.57</v>
      </c>
      <c r="BI109" s="255"/>
      <c r="BJ109">
        <v>7096.9</v>
      </c>
      <c r="BK109">
        <v>27946</v>
      </c>
      <c r="BL109">
        <v>6.83</v>
      </c>
      <c r="BM109" s="255"/>
      <c r="BN109" s="255"/>
      <c r="BO109" s="255"/>
      <c r="BP109" s="255"/>
      <c r="BQ109" s="255"/>
      <c r="BR109" s="255"/>
      <c r="BS109" s="255"/>
    </row>
    <row r="110" spans="1:71" x14ac:dyDescent="0.25">
      <c r="A110" s="255"/>
      <c r="B110" s="239" t="s">
        <v>232</v>
      </c>
      <c r="C110" s="240"/>
      <c r="D110" s="273">
        <f>E70</f>
        <v>4</v>
      </c>
      <c r="E110" s="273">
        <f>E$67</f>
        <v>290</v>
      </c>
      <c r="F110" s="272">
        <v>9.81</v>
      </c>
      <c r="G110" s="275"/>
      <c r="H110" s="243">
        <f>TRUNC(0.9*N92,2)</f>
        <v>2618.06</v>
      </c>
      <c r="I110" s="243">
        <f>TRUNC(D110*E110*F110+H110,1)</f>
        <v>13997.6</v>
      </c>
      <c r="J110" s="206"/>
      <c r="K110" s="243">
        <f>TRUNC(G81*E69,2)</f>
        <v>5109.0600000000004</v>
      </c>
      <c r="L110" s="238"/>
      <c r="M110" s="255"/>
      <c r="N110" s="255"/>
      <c r="O110" s="255"/>
      <c r="P110" s="255"/>
      <c r="Q110" s="255"/>
      <c r="R110" s="255"/>
      <c r="S110" s="282">
        <v>90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0</v>
      </c>
      <c r="Z110">
        <v>0</v>
      </c>
      <c r="AA110">
        <v>0</v>
      </c>
      <c r="AB110">
        <v>0</v>
      </c>
      <c r="AC110">
        <v>0</v>
      </c>
      <c r="AD110">
        <v>0</v>
      </c>
      <c r="AE110">
        <v>0</v>
      </c>
      <c r="AF110">
        <v>0</v>
      </c>
      <c r="AG110">
        <v>0</v>
      </c>
      <c r="AH110" s="284">
        <v>0</v>
      </c>
      <c r="AI110" s="255"/>
      <c r="AJ110" s="255"/>
      <c r="AK110" s="282">
        <v>12.1</v>
      </c>
      <c r="AL110">
        <v>8.7460000000000004</v>
      </c>
      <c r="AM110" s="255"/>
      <c r="AN110" s="255"/>
      <c r="AO110" s="255"/>
      <c r="AP110" s="284">
        <v>7.1</v>
      </c>
      <c r="AQ110">
        <v>15.8</v>
      </c>
      <c r="AR110" s="255"/>
      <c r="AS110" s="255"/>
      <c r="AT110">
        <v>6700</v>
      </c>
      <c r="AU110">
        <v>23318</v>
      </c>
      <c r="AV110">
        <v>6.4</v>
      </c>
      <c r="AW110" s="255"/>
      <c r="AX110">
        <v>7295.3</v>
      </c>
      <c r="AY110">
        <v>28596</v>
      </c>
      <c r="AZ110">
        <v>6.47</v>
      </c>
      <c r="BA110" s="255"/>
      <c r="BB110">
        <v>7296.3</v>
      </c>
      <c r="BC110">
        <v>28602</v>
      </c>
      <c r="BD110">
        <v>6.47</v>
      </c>
      <c r="BE110" s="255"/>
      <c r="BF110">
        <v>7295.3</v>
      </c>
      <c r="BG110">
        <v>28596</v>
      </c>
      <c r="BH110">
        <v>6.47</v>
      </c>
      <c r="BI110" s="255"/>
      <c r="BJ110">
        <v>6914.5</v>
      </c>
      <c r="BK110">
        <v>28078</v>
      </c>
      <c r="BL110">
        <v>6.72</v>
      </c>
      <c r="BM110" s="255"/>
      <c r="BN110" s="255"/>
      <c r="BO110" s="255"/>
      <c r="BP110" s="255"/>
      <c r="BQ110" s="255"/>
      <c r="BR110" s="255"/>
      <c r="BS110" s="255"/>
    </row>
    <row r="111" spans="1:71" x14ac:dyDescent="0.25">
      <c r="A111" s="255"/>
      <c r="B111" s="255"/>
      <c r="C111" s="255"/>
      <c r="D111" s="255"/>
      <c r="E111" s="255"/>
      <c r="F111" s="255"/>
      <c r="G111" s="255"/>
      <c r="H111" s="255"/>
      <c r="I111" s="255"/>
      <c r="J111" s="255"/>
      <c r="K111" s="255"/>
      <c r="L111" s="255"/>
      <c r="M111" s="255"/>
      <c r="N111" s="255"/>
      <c r="O111" s="255"/>
      <c r="P111" s="255"/>
      <c r="Q111" s="255"/>
      <c r="R111" s="255"/>
      <c r="S111" s="255"/>
      <c r="T111" s="255"/>
      <c r="U111" s="255"/>
      <c r="V111" s="255"/>
      <c r="W111" s="255"/>
      <c r="X111" s="255"/>
      <c r="Y111" s="255"/>
      <c r="Z111" s="255"/>
      <c r="AA111" s="255"/>
      <c r="AB111" s="255"/>
      <c r="AC111" s="255"/>
      <c r="AD111" s="255"/>
      <c r="AE111" s="255"/>
      <c r="AF111" s="255"/>
      <c r="AG111" s="255"/>
      <c r="AH111" s="255"/>
      <c r="AI111" s="255"/>
      <c r="AJ111" s="255"/>
      <c r="AK111" s="282">
        <v>12.2</v>
      </c>
      <c r="AL111">
        <v>8.7140000000000004</v>
      </c>
      <c r="AM111" s="255"/>
      <c r="AN111" s="255"/>
      <c r="AO111" s="255"/>
      <c r="AP111" s="284">
        <v>7.2</v>
      </c>
      <c r="AQ111">
        <v>15.7</v>
      </c>
      <c r="AR111" s="255"/>
      <c r="AS111" s="255"/>
      <c r="AT111" s="255"/>
      <c r="AU111" s="255"/>
      <c r="AV111" s="255"/>
      <c r="AW111" s="255"/>
      <c r="AX111" s="255"/>
      <c r="AY111" s="255"/>
      <c r="AZ111" s="255"/>
      <c r="BA111" s="255"/>
      <c r="BB111" s="255"/>
      <c r="BC111" s="255"/>
      <c r="BD111" s="255"/>
      <c r="BE111" s="255"/>
      <c r="BF111" s="255"/>
      <c r="BG111" s="255"/>
      <c r="BH111" s="255"/>
      <c r="BI111" s="255"/>
      <c r="BJ111" s="255"/>
      <c r="BK111" s="255"/>
      <c r="BL111" s="255"/>
      <c r="BM111" s="255"/>
      <c r="BN111" s="255"/>
      <c r="BO111" s="255"/>
      <c r="BP111" s="255"/>
      <c r="BQ111" s="255"/>
      <c r="BR111" s="255"/>
      <c r="BS111" s="255"/>
    </row>
    <row r="112" spans="1:71" x14ac:dyDescent="0.25">
      <c r="A112" s="255"/>
      <c r="B112" s="255"/>
      <c r="C112" s="255"/>
      <c r="D112" s="255"/>
      <c r="E112" s="255"/>
      <c r="F112" s="255"/>
      <c r="G112" s="255"/>
      <c r="H112" s="255"/>
      <c r="I112" s="255"/>
      <c r="J112" s="255"/>
      <c r="K112" s="255"/>
      <c r="L112" s="255"/>
      <c r="M112" s="255"/>
      <c r="N112" s="255"/>
      <c r="O112" s="255"/>
      <c r="P112" s="255"/>
      <c r="Q112" s="255"/>
      <c r="R112" s="255"/>
      <c r="S112" s="255"/>
      <c r="T112" s="255"/>
      <c r="U112" s="255"/>
      <c r="V112" s="255"/>
      <c r="W112" s="255"/>
      <c r="X112" s="255"/>
      <c r="Y112" s="255"/>
      <c r="Z112" s="255"/>
      <c r="AA112" s="255"/>
      <c r="AB112" s="255"/>
      <c r="AC112" s="255"/>
      <c r="AD112" s="255"/>
      <c r="AE112" s="255"/>
      <c r="AF112" s="255"/>
      <c r="AG112" s="255"/>
      <c r="AH112" s="255"/>
      <c r="AI112" s="255"/>
      <c r="AJ112" s="255"/>
      <c r="AK112" s="282">
        <v>12.3</v>
      </c>
      <c r="AL112">
        <v>8.6829999999999998</v>
      </c>
      <c r="AM112" s="255"/>
      <c r="AN112" s="255"/>
      <c r="AO112" s="255"/>
      <c r="AP112" s="284">
        <v>7.3</v>
      </c>
      <c r="AQ112">
        <v>15.6</v>
      </c>
      <c r="AR112" s="255"/>
      <c r="AS112" s="255"/>
      <c r="AT112" s="255"/>
      <c r="AU112" s="255"/>
      <c r="AV112" s="255"/>
      <c r="AW112" s="255"/>
      <c r="AX112" s="255"/>
      <c r="AY112" s="255"/>
      <c r="AZ112" s="255"/>
      <c r="BA112" s="255"/>
      <c r="BB112" s="255"/>
      <c r="BC112" s="255"/>
      <c r="BD112" s="255"/>
      <c r="BE112" s="255"/>
      <c r="BF112" s="255"/>
      <c r="BG112" s="255"/>
      <c r="BH112" s="255"/>
      <c r="BI112" s="255"/>
      <c r="BJ112" s="255"/>
      <c r="BK112" s="255"/>
      <c r="BL112" s="255"/>
      <c r="BM112" s="255"/>
      <c r="BN112" s="255"/>
      <c r="BO112" s="255"/>
      <c r="BP112" s="255"/>
      <c r="BQ112" s="255"/>
      <c r="BR112" s="255"/>
      <c r="BS112" s="255"/>
    </row>
    <row r="113" spans="1:71" x14ac:dyDescent="0.25">
      <c r="A113" s="255"/>
      <c r="B113" s="340" t="s">
        <v>452</v>
      </c>
      <c r="C113" s="337"/>
      <c r="D113" s="255"/>
      <c r="E113" s="255"/>
      <c r="F113" s="255"/>
      <c r="G113" s="255"/>
      <c r="H113" s="255"/>
      <c r="I113" s="255"/>
      <c r="J113" s="255"/>
      <c r="K113" s="255"/>
      <c r="L113" s="255"/>
      <c r="M113" s="255"/>
      <c r="N113" s="255"/>
      <c r="O113" s="255"/>
      <c r="P113" s="255"/>
      <c r="Q113" s="255"/>
      <c r="R113" s="255"/>
      <c r="S113" s="255"/>
      <c r="T113" s="255"/>
      <c r="U113" s="255"/>
      <c r="V113" s="255"/>
      <c r="W113" s="255"/>
      <c r="X113" s="255"/>
      <c r="Y113" s="255"/>
      <c r="Z113" s="255"/>
      <c r="AA113" s="255"/>
      <c r="AB113" s="255"/>
      <c r="AC113" s="255"/>
      <c r="AD113" s="255"/>
      <c r="AE113" s="255"/>
      <c r="AF113" s="255"/>
      <c r="AG113" s="255"/>
      <c r="AH113" s="255"/>
      <c r="AI113" s="255"/>
      <c r="AJ113" s="255"/>
      <c r="AK113" s="282">
        <v>12.4</v>
      </c>
      <c r="AL113">
        <v>8.65</v>
      </c>
      <c r="AM113" s="255"/>
      <c r="AN113" s="255"/>
      <c r="AO113" s="255"/>
      <c r="AP113" s="284">
        <v>7.4</v>
      </c>
      <c r="AQ113">
        <v>15.5</v>
      </c>
      <c r="AR113" s="255"/>
      <c r="AS113" s="255"/>
      <c r="AT113" s="255"/>
      <c r="AU113" s="255"/>
      <c r="AV113" s="255"/>
      <c r="AW113" s="255"/>
      <c r="AX113" s="255"/>
      <c r="AY113" s="255"/>
      <c r="AZ113" s="255"/>
      <c r="BA113" s="255"/>
      <c r="BB113" s="255"/>
      <c r="BC113" s="255"/>
      <c r="BD113" s="255"/>
      <c r="BE113" s="255"/>
      <c r="BF113" s="255"/>
      <c r="BG113" s="255"/>
      <c r="BH113" s="255"/>
      <c r="BI113" s="255"/>
      <c r="BJ113" s="255"/>
      <c r="BK113" s="255"/>
      <c r="BL113" s="255"/>
      <c r="BM113" s="255"/>
      <c r="BN113" s="255"/>
      <c r="BO113" s="255"/>
      <c r="BP113" s="255"/>
      <c r="BQ113" s="255"/>
      <c r="BR113" s="255"/>
      <c r="BS113" s="255"/>
    </row>
    <row r="114" spans="1:71" x14ac:dyDescent="0.25">
      <c r="A114" s="255"/>
      <c r="B114" s="255"/>
      <c r="C114" s="255"/>
      <c r="D114" s="255"/>
      <c r="E114" s="255"/>
      <c r="F114" s="255"/>
      <c r="G114" s="255"/>
      <c r="H114" s="255"/>
      <c r="I114" s="255"/>
      <c r="J114" s="255"/>
      <c r="K114" s="255"/>
      <c r="L114" s="255"/>
      <c r="M114" s="255"/>
      <c r="N114" s="255"/>
      <c r="O114" s="255"/>
      <c r="P114" s="255"/>
      <c r="Q114" s="255"/>
      <c r="R114" s="255"/>
      <c r="S114" s="255"/>
      <c r="T114" s="255"/>
      <c r="U114" s="255"/>
      <c r="V114" s="255"/>
      <c r="W114" s="255"/>
      <c r="X114" s="255"/>
      <c r="Y114" s="255"/>
      <c r="Z114" s="255"/>
      <c r="AA114" s="255"/>
      <c r="AB114" s="255"/>
      <c r="AC114" s="255"/>
      <c r="AD114" s="255"/>
      <c r="AE114" s="255"/>
      <c r="AF114" s="255"/>
      <c r="AG114" s="255"/>
      <c r="AH114" s="255"/>
      <c r="AI114" s="255"/>
      <c r="AJ114" s="255"/>
      <c r="AK114" s="282">
        <v>12.5</v>
      </c>
      <c r="AL114">
        <v>8.6180000000000003</v>
      </c>
      <c r="AM114" s="255"/>
      <c r="AN114" s="255"/>
      <c r="AO114" s="255"/>
      <c r="AP114" s="284">
        <v>7.5</v>
      </c>
      <c r="AQ114">
        <v>15.41</v>
      </c>
      <c r="AR114" s="255"/>
      <c r="AS114" s="255"/>
      <c r="AT114" s="255"/>
      <c r="AU114" s="255"/>
      <c r="AV114" s="255"/>
      <c r="AW114" s="255"/>
      <c r="AX114" s="255"/>
      <c r="AY114" s="255"/>
      <c r="AZ114" s="255"/>
      <c r="BA114" s="255"/>
      <c r="BB114" s="255"/>
      <c r="BC114" s="255"/>
      <c r="BD114" s="255"/>
      <c r="BE114" s="255"/>
      <c r="BF114" s="255"/>
      <c r="BG114" s="255"/>
      <c r="BH114" s="255"/>
      <c r="BI114" s="255"/>
      <c r="BJ114" s="255"/>
      <c r="BK114" s="255"/>
      <c r="BL114" s="255"/>
      <c r="BM114" s="255"/>
      <c r="BN114" s="255"/>
      <c r="BO114" s="255"/>
      <c r="BP114" s="255"/>
      <c r="BQ114" s="255"/>
      <c r="BR114" s="255"/>
      <c r="BS114" s="255"/>
    </row>
    <row r="115" spans="1:71" x14ac:dyDescent="0.25">
      <c r="A115" s="255"/>
      <c r="B115" s="240" t="s">
        <v>149</v>
      </c>
      <c r="C115" s="255"/>
      <c r="D115" s="240" t="s">
        <v>156</v>
      </c>
      <c r="E115" s="255"/>
      <c r="F115" s="240" t="s">
        <v>164</v>
      </c>
      <c r="G115" s="240"/>
      <c r="H115" s="255"/>
      <c r="I115" s="255"/>
      <c r="J115" s="255"/>
      <c r="K115" s="255"/>
      <c r="L115" s="255"/>
      <c r="M115" s="255"/>
      <c r="N115" s="255"/>
      <c r="O115" s="255"/>
      <c r="P115" s="255"/>
      <c r="Q115" s="255"/>
      <c r="R115" s="255"/>
      <c r="S115" s="255"/>
      <c r="T115" s="255"/>
      <c r="U115" s="255"/>
      <c r="V115" s="255"/>
      <c r="W115" s="255"/>
      <c r="X115" s="255"/>
      <c r="Y115" s="255"/>
      <c r="Z115" s="255"/>
      <c r="AA115" s="255"/>
      <c r="AB115" s="255"/>
      <c r="AC115" s="255"/>
      <c r="AD115" s="255"/>
      <c r="AE115" s="255"/>
      <c r="AF115" s="255"/>
      <c r="AG115" s="255"/>
      <c r="AH115" s="255"/>
      <c r="AI115" s="255"/>
      <c r="AJ115" s="255"/>
      <c r="AK115" s="282">
        <v>12.6</v>
      </c>
      <c r="AL115">
        <v>8.5860000000000003</v>
      </c>
      <c r="AM115" s="255"/>
      <c r="AN115" s="255"/>
      <c r="AO115" s="255"/>
      <c r="AP115" s="284">
        <v>7.6</v>
      </c>
      <c r="AQ115">
        <v>15.32</v>
      </c>
      <c r="AR115" s="255"/>
      <c r="AS115" s="255"/>
      <c r="AT115" s="255"/>
      <c r="AU115" s="255"/>
      <c r="AV115" s="255"/>
      <c r="AW115" s="255"/>
      <c r="AX115" s="255"/>
      <c r="AY115" s="255"/>
      <c r="AZ115" s="255"/>
      <c r="BA115" s="255"/>
      <c r="BB115" s="255"/>
      <c r="BC115" s="255"/>
      <c r="BD115" s="255"/>
      <c r="BE115" s="255"/>
      <c r="BF115" s="255"/>
      <c r="BG115" s="255"/>
      <c r="BH115" s="255"/>
      <c r="BI115" s="255"/>
      <c r="BJ115" s="255"/>
      <c r="BK115" s="255"/>
      <c r="BL115" s="255"/>
      <c r="BM115" s="255"/>
      <c r="BN115" s="255"/>
      <c r="BO115" s="255"/>
      <c r="BP115" s="255"/>
      <c r="BQ115" s="255"/>
      <c r="BR115" s="255"/>
      <c r="BS115" s="255"/>
    </row>
    <row r="116" spans="1:71" x14ac:dyDescent="0.25">
      <c r="A116" s="255"/>
      <c r="B116" s="255"/>
      <c r="C116" s="255"/>
      <c r="D116" s="255"/>
      <c r="E116" s="255"/>
      <c r="F116" s="255"/>
      <c r="G116" s="240" t="s">
        <v>183</v>
      </c>
      <c r="H116" s="240" t="s">
        <v>184</v>
      </c>
      <c r="I116" s="240" t="s">
        <v>185</v>
      </c>
      <c r="J116" s="240"/>
      <c r="K116" s="239" t="s">
        <v>239</v>
      </c>
      <c r="L116" s="255"/>
      <c r="M116" s="255"/>
      <c r="N116" s="255"/>
      <c r="O116" s="255"/>
      <c r="P116" s="255"/>
      <c r="Q116" s="255"/>
      <c r="R116" s="255"/>
      <c r="S116" s="255"/>
      <c r="T116" s="255"/>
      <c r="U116" s="255"/>
      <c r="V116" s="255"/>
      <c r="W116" s="255"/>
      <c r="X116" s="255"/>
      <c r="Y116" s="255"/>
      <c r="Z116" s="255"/>
      <c r="AA116" s="255"/>
      <c r="AB116" s="255"/>
      <c r="AC116" s="255"/>
      <c r="AD116" s="255"/>
      <c r="AE116" s="255"/>
      <c r="AF116" s="255"/>
      <c r="AG116" s="255"/>
      <c r="AH116" s="255"/>
      <c r="AI116" s="255"/>
      <c r="AJ116" s="255"/>
      <c r="AK116" s="282">
        <v>12.7</v>
      </c>
      <c r="AL116">
        <v>8.5530000000000008</v>
      </c>
      <c r="AM116" s="255"/>
      <c r="AN116" s="255"/>
      <c r="AO116" s="255"/>
      <c r="AP116" s="284">
        <v>7.7</v>
      </c>
      <c r="AQ116">
        <v>15.23</v>
      </c>
      <c r="AR116" s="255"/>
      <c r="AS116" s="255"/>
      <c r="AT116" s="255"/>
      <c r="AU116" s="255"/>
      <c r="AV116" s="255"/>
      <c r="AW116" s="255"/>
      <c r="AX116" s="255"/>
      <c r="AY116" s="255"/>
      <c r="AZ116" s="255"/>
      <c r="BA116" s="255"/>
      <c r="BB116" s="255"/>
      <c r="BC116" s="255"/>
      <c r="BD116" s="255"/>
      <c r="BE116" s="255"/>
      <c r="BF116" s="255"/>
      <c r="BG116" s="255"/>
      <c r="BH116" s="255"/>
      <c r="BI116" s="255"/>
      <c r="BJ116" s="255"/>
      <c r="BK116" s="255"/>
      <c r="BL116" s="255"/>
      <c r="BM116" s="255"/>
      <c r="BN116" s="255"/>
      <c r="BO116" s="255"/>
      <c r="BP116" s="255"/>
      <c r="BQ116" s="255"/>
      <c r="BR116" s="255"/>
      <c r="BS116" s="255"/>
    </row>
    <row r="117" spans="1:71" x14ac:dyDescent="0.25">
      <c r="A117" s="255"/>
      <c r="B117" s="240" t="s">
        <v>386</v>
      </c>
      <c r="C117" s="315">
        <v>180</v>
      </c>
      <c r="D117" s="240" t="s">
        <v>157</v>
      </c>
      <c r="E117" s="315">
        <v>12</v>
      </c>
      <c r="F117" s="239" t="s">
        <v>407</v>
      </c>
      <c r="G117" s="315"/>
      <c r="H117" s="293" t="s">
        <v>367</v>
      </c>
      <c r="I117" s="272">
        <v>0.5</v>
      </c>
      <c r="J117" s="240" t="s">
        <v>187</v>
      </c>
      <c r="K117" s="329">
        <f>TRUNC(IF(H117="Tm",G117*9.81*I117,G117*I117),2)</f>
        <v>0</v>
      </c>
      <c r="L117" s="255"/>
      <c r="M117" s="255"/>
      <c r="N117" s="255"/>
      <c r="O117" s="255"/>
      <c r="P117" s="255"/>
      <c r="Q117" s="255"/>
      <c r="R117" s="255"/>
      <c r="S117" s="255"/>
      <c r="T117" s="255"/>
      <c r="U117" s="255"/>
      <c r="V117" s="255"/>
      <c r="W117" s="255"/>
      <c r="X117" s="255"/>
      <c r="Y117" s="255"/>
      <c r="Z117" s="255"/>
      <c r="AA117" s="255"/>
      <c r="AB117" s="255"/>
      <c r="AC117" s="255"/>
      <c r="AD117" s="255"/>
      <c r="AE117" s="255"/>
      <c r="AF117" s="255"/>
      <c r="AG117" s="255"/>
      <c r="AH117" s="255"/>
      <c r="AI117" s="255"/>
      <c r="AJ117" s="255"/>
      <c r="AK117" s="282">
        <v>12.8</v>
      </c>
      <c r="AL117">
        <v>8.5210000000000008</v>
      </c>
      <c r="AM117" s="255"/>
      <c r="AN117" s="255"/>
      <c r="AO117" s="255"/>
      <c r="AP117" s="284">
        <v>7.8</v>
      </c>
      <c r="AQ117">
        <v>15.15</v>
      </c>
      <c r="AR117" s="255"/>
      <c r="AS117" s="255"/>
      <c r="AT117" s="255"/>
      <c r="AU117" s="255"/>
      <c r="AV117" s="255"/>
      <c r="AW117" s="255"/>
      <c r="AX117" s="255"/>
      <c r="AY117" s="255"/>
      <c r="AZ117" s="255"/>
      <c r="BA117" s="255"/>
      <c r="BB117" s="255"/>
      <c r="BC117" s="255"/>
      <c r="BD117" s="255"/>
      <c r="BE117" s="255"/>
      <c r="BF117" s="255"/>
      <c r="BG117" s="255"/>
      <c r="BH117" s="255"/>
      <c r="BI117" s="255"/>
      <c r="BJ117" s="255"/>
      <c r="BK117" s="255"/>
      <c r="BL117" s="255"/>
      <c r="BM117" s="255"/>
      <c r="BN117" s="255"/>
      <c r="BO117" s="255"/>
      <c r="BP117" s="255"/>
      <c r="BQ117" s="255"/>
      <c r="BR117" s="255"/>
      <c r="BS117" s="255"/>
    </row>
    <row r="118" spans="1:71" x14ac:dyDescent="0.25">
      <c r="A118" s="255"/>
      <c r="B118" s="240" t="s">
        <v>387</v>
      </c>
      <c r="C118" s="315">
        <v>15</v>
      </c>
      <c r="D118" s="240" t="s">
        <v>158</v>
      </c>
      <c r="E118" s="315">
        <v>24</v>
      </c>
      <c r="F118" s="239" t="s">
        <v>408</v>
      </c>
      <c r="G118" s="315"/>
      <c r="H118" s="293" t="s">
        <v>367</v>
      </c>
      <c r="I118" s="272">
        <v>0.5</v>
      </c>
      <c r="J118" s="240" t="s">
        <v>187</v>
      </c>
      <c r="K118" s="329">
        <f t="shared" ref="K118:K124" si="22">TRUNC(IF(H118="Tm",G118*9.81*I118,G118*I118),2)</f>
        <v>0</v>
      </c>
      <c r="L118" s="255"/>
      <c r="M118" s="255"/>
      <c r="N118" s="255"/>
      <c r="O118" s="255"/>
      <c r="P118" s="255"/>
      <c r="Q118" s="255"/>
      <c r="R118" s="255"/>
      <c r="S118" s="255"/>
      <c r="T118" s="255"/>
      <c r="U118" s="255"/>
      <c r="V118" s="255"/>
      <c r="W118" s="255"/>
      <c r="X118" s="255"/>
      <c r="Y118" s="255"/>
      <c r="Z118" s="255"/>
      <c r="AA118" s="255"/>
      <c r="AB118" s="255"/>
      <c r="AC118" s="255"/>
      <c r="AD118" s="255"/>
      <c r="AE118" s="255"/>
      <c r="AF118" s="255"/>
      <c r="AG118" s="255"/>
      <c r="AH118" s="255"/>
      <c r="AI118" s="255"/>
      <c r="AJ118" s="255"/>
      <c r="AK118" s="282">
        <v>12.9</v>
      </c>
      <c r="AL118">
        <v>8.4879999999999995</v>
      </c>
      <c r="AM118" s="255"/>
      <c r="AN118" s="255"/>
      <c r="AO118" s="255"/>
      <c r="AP118" s="284">
        <v>7.9</v>
      </c>
      <c r="AQ118">
        <v>15.07</v>
      </c>
      <c r="AR118" s="255"/>
      <c r="AS118" s="255"/>
      <c r="AT118" s="255"/>
      <c r="AU118" s="255"/>
      <c r="AV118" s="255"/>
      <c r="AW118" s="255"/>
      <c r="AX118" s="255"/>
      <c r="AY118" s="255"/>
      <c r="AZ118" s="255"/>
      <c r="BA118" s="255"/>
      <c r="BB118" s="255"/>
      <c r="BC118" s="255"/>
      <c r="BD118" s="255"/>
      <c r="BE118" s="255"/>
      <c r="BF118" s="255"/>
      <c r="BG118" s="255"/>
      <c r="BH118" s="255"/>
      <c r="BI118" s="255"/>
      <c r="BJ118" s="255"/>
      <c r="BK118" s="255"/>
      <c r="BL118" s="255"/>
      <c r="BM118" s="255"/>
      <c r="BN118" s="255"/>
      <c r="BO118" s="255"/>
      <c r="BP118" s="255"/>
      <c r="BQ118" s="255"/>
      <c r="BR118" s="255"/>
      <c r="BS118" s="255"/>
    </row>
    <row r="119" spans="1:71" x14ac:dyDescent="0.25">
      <c r="A119" s="255"/>
      <c r="B119" s="240" t="s">
        <v>150</v>
      </c>
      <c r="C119" s="306" cm="1">
        <f t="array" ref="C119">ROUND(IF(
OR(ISBLANK(C117),ISBLANK(C118)),"0",
IF(
OR(C117&lt;V24,C117&gt;AF24,C118&lt;U25,C118&gt;U30),"Fuera de rango",
(
INDEX(V25:AF30,MATCH(C118,U25:U30,1),MATCH(C117,V24:AF24,1))*(INDEX(V24:AF24,1,MATCH(C117,V24:AF24,1)+1)-C117)*(INDEX(U25:U30,MATCH(C118,U25:U30,1)+1,1)-C118)+
INDEX(V25:AF30,MATCH(C118,U25:U30,1)+1,MATCH(C117,V24:AF24,1))*(INDEX(V24:AF24,1,MATCH(C117,V24:AF24,1)+1)-C117)*(C118-INDEX(U25:U30,MATCH(C118,U25:U30,1),1))+
INDEX(V25:AF30,MATCH(C118,U25:U30,1),MATCH(C117,V24:AF24,1)+1)*(C117-INDEX(V24:AF24,1,MATCH(C117,V24:AF24,1),1))*(INDEX(U25:U30,MATCH(C118,U25:U30,1)+1,1)-C118)+
INDEX(V25:AF30,MATCH(C118,U25:U30,1)+1,MATCH(C117,V24:AF24,1)+1)*(C117-INDEX(V24:AF24,1,MATCH(C117,V24:AF24,1),1))*(C118-INDEX(U25:U30,MATCH(C118,U25:U30,1),1))
)
/(
(INDEX(V24:AF24,1,MATCH(C117,V24:AF24,1)+1)-INDEX(V24:AF24,1,MATCH(C117,V24:AF24,1),1))*
(INDEX(U25:U30,MATCH(C118,U25:U30,1)+1,1)-INDEX(U25:U30,MATCH(C118,U25:U30,1),1))
)
)
),2)</f>
        <v>0.68</v>
      </c>
      <c r="D119" s="240" t="s">
        <v>159</v>
      </c>
      <c r="E119" s="315">
        <v>5.5</v>
      </c>
      <c r="F119" s="239" t="s">
        <v>409</v>
      </c>
      <c r="G119" s="315">
        <v>30</v>
      </c>
      <c r="H119" s="293" t="s">
        <v>95</v>
      </c>
      <c r="I119" s="272">
        <v>0.5</v>
      </c>
      <c r="J119" s="240" t="s">
        <v>187</v>
      </c>
      <c r="K119" s="329">
        <f t="shared" si="22"/>
        <v>147.15</v>
      </c>
      <c r="L119" s="255"/>
      <c r="M119" s="255"/>
      <c r="N119" s="255"/>
      <c r="O119" s="255"/>
      <c r="P119" s="255"/>
      <c r="Q119" s="255"/>
      <c r="R119" s="255"/>
      <c r="S119" s="255"/>
      <c r="T119" s="255"/>
      <c r="U119" s="255"/>
      <c r="V119" s="255"/>
      <c r="W119" s="255"/>
      <c r="X119" s="255"/>
      <c r="Y119" s="255"/>
      <c r="Z119" s="255"/>
      <c r="AA119" s="255"/>
      <c r="AB119" s="255"/>
      <c r="AC119" s="255"/>
      <c r="AD119" s="255"/>
      <c r="AE119" s="255"/>
      <c r="AF119" s="255"/>
      <c r="AG119" s="255"/>
      <c r="AH119" s="255"/>
      <c r="AI119" s="255"/>
      <c r="AJ119" s="255"/>
      <c r="AK119" s="282">
        <v>13</v>
      </c>
      <c r="AL119">
        <v>8.4559999999999995</v>
      </c>
      <c r="AM119" s="255"/>
      <c r="AN119" s="255"/>
      <c r="AO119" s="255"/>
      <c r="AP119" s="284">
        <v>8</v>
      </c>
      <c r="AQ119">
        <v>15</v>
      </c>
      <c r="AR119" s="255"/>
      <c r="AS119" s="255"/>
      <c r="AT119" s="255"/>
      <c r="AU119" s="255"/>
      <c r="AV119" s="255"/>
      <c r="AW119" s="255"/>
      <c r="AX119" s="255"/>
      <c r="AY119" s="255"/>
      <c r="AZ119" s="255"/>
      <c r="BA119" s="255"/>
      <c r="BB119" s="255"/>
      <c r="BC119" s="255"/>
      <c r="BD119" s="255"/>
      <c r="BE119" s="255"/>
      <c r="BF119" s="255"/>
      <c r="BG119" s="255"/>
      <c r="BH119" s="255"/>
      <c r="BI119" s="255"/>
      <c r="BJ119" s="255"/>
      <c r="BK119" s="255"/>
      <c r="BL119" s="255"/>
      <c r="BM119" s="255"/>
      <c r="BN119" s="255"/>
      <c r="BO119" s="255"/>
      <c r="BP119" s="255"/>
      <c r="BQ119" s="255"/>
      <c r="BR119" s="255"/>
      <c r="BS119" s="255"/>
    </row>
    <row r="120" spans="1:71" x14ac:dyDescent="0.25">
      <c r="A120" s="255"/>
      <c r="B120" s="240" t="s">
        <v>151</v>
      </c>
      <c r="C120" s="315">
        <v>1.24</v>
      </c>
      <c r="D120" s="240" t="s">
        <v>45</v>
      </c>
      <c r="E120" s="315">
        <v>429</v>
      </c>
      <c r="F120" s="239" t="s">
        <v>410</v>
      </c>
      <c r="G120" s="315"/>
      <c r="H120" s="293" t="s">
        <v>367</v>
      </c>
      <c r="I120" s="272">
        <v>0.5</v>
      </c>
      <c r="J120" s="240" t="s">
        <v>187</v>
      </c>
      <c r="K120" s="329">
        <f t="shared" si="22"/>
        <v>0</v>
      </c>
      <c r="L120" s="255"/>
      <c r="M120" s="255"/>
      <c r="N120" s="255"/>
      <c r="O120" s="255"/>
      <c r="P120" s="255"/>
      <c r="Q120" s="255"/>
      <c r="R120" s="255"/>
      <c r="S120" s="255"/>
      <c r="T120" s="255"/>
      <c r="U120" s="255"/>
      <c r="V120" s="255"/>
      <c r="W120" s="255"/>
      <c r="X120" s="255"/>
      <c r="Y120" s="255"/>
      <c r="Z120" s="255"/>
      <c r="AA120" s="255"/>
      <c r="AB120" s="255"/>
      <c r="AC120" s="255"/>
      <c r="AD120" s="255"/>
      <c r="AE120" s="255"/>
      <c r="AF120" s="255"/>
      <c r="AG120" s="255"/>
      <c r="AH120" s="255"/>
      <c r="AI120" s="255"/>
      <c r="AJ120" s="255"/>
      <c r="AK120" s="282">
        <v>13.1</v>
      </c>
      <c r="AL120">
        <v>8.423</v>
      </c>
      <c r="AM120" s="255"/>
      <c r="AN120" s="255"/>
      <c r="AO120" s="255"/>
      <c r="AP120" s="284">
        <v>8.1</v>
      </c>
      <c r="AQ120">
        <v>14.93</v>
      </c>
      <c r="AR120" s="255"/>
      <c r="AS120" s="255"/>
      <c r="AT120" s="255"/>
      <c r="AU120" s="255"/>
      <c r="AV120" s="255"/>
      <c r="AW120" s="255"/>
      <c r="AX120" s="255"/>
      <c r="AY120" s="255"/>
      <c r="AZ120" s="255"/>
      <c r="BA120" s="255"/>
      <c r="BB120" s="255"/>
      <c r="BC120" s="255"/>
      <c r="BD120" s="255"/>
      <c r="BE120" s="255"/>
      <c r="BF120" s="255"/>
      <c r="BG120" s="255"/>
      <c r="BH120" s="255"/>
      <c r="BI120" s="255"/>
      <c r="BJ120" s="255"/>
      <c r="BK120" s="255"/>
      <c r="BL120" s="255"/>
      <c r="BM120" s="255"/>
      <c r="BN120" s="255"/>
      <c r="BO120" s="255"/>
      <c r="BP120" s="255"/>
      <c r="BQ120" s="255"/>
      <c r="BR120" s="255"/>
      <c r="BS120" s="255"/>
    </row>
    <row r="121" spans="1:71" x14ac:dyDescent="0.25">
      <c r="A121" s="255"/>
      <c r="B121" s="240" t="s">
        <v>152</v>
      </c>
      <c r="C121" s="300">
        <v>1</v>
      </c>
      <c r="D121" s="334" t="s">
        <v>413</v>
      </c>
      <c r="E121" s="315">
        <v>0.3</v>
      </c>
      <c r="F121" s="239" t="s">
        <v>167</v>
      </c>
      <c r="G121" s="315">
        <v>18</v>
      </c>
      <c r="H121" s="293" t="s">
        <v>95</v>
      </c>
      <c r="I121" s="272">
        <v>0.8</v>
      </c>
      <c r="J121" s="240" t="s">
        <v>187</v>
      </c>
      <c r="K121" s="329">
        <f t="shared" si="22"/>
        <v>141.26</v>
      </c>
      <c r="L121" s="255"/>
      <c r="M121" s="255"/>
      <c r="N121" s="255"/>
      <c r="O121" s="255"/>
      <c r="P121" s="255"/>
      <c r="Q121" s="255"/>
      <c r="R121" s="255"/>
      <c r="S121" s="255"/>
      <c r="T121" s="255"/>
      <c r="U121" s="255"/>
      <c r="V121" s="255"/>
      <c r="W121" s="255"/>
      <c r="X121" s="255"/>
      <c r="Y121" s="255"/>
      <c r="Z121" s="255"/>
      <c r="AA121" s="255"/>
      <c r="AB121" s="255"/>
      <c r="AC121" s="255"/>
      <c r="AD121" s="255"/>
      <c r="AE121" s="255"/>
      <c r="AF121" s="255"/>
      <c r="AG121" s="255"/>
      <c r="AH121" s="255"/>
      <c r="AI121" s="255"/>
      <c r="AJ121" s="255"/>
      <c r="AK121" s="282">
        <v>13.2</v>
      </c>
      <c r="AL121">
        <v>8.39</v>
      </c>
      <c r="AM121" s="255"/>
      <c r="AN121" s="255"/>
      <c r="AO121" s="255"/>
      <c r="AP121" s="284">
        <v>8.1999999999999993</v>
      </c>
      <c r="AQ121">
        <v>14.86</v>
      </c>
      <c r="AR121" s="255"/>
      <c r="AS121" s="255"/>
      <c r="AT121" s="255"/>
      <c r="AU121" s="255"/>
      <c r="AV121" s="255"/>
      <c r="AW121" s="255"/>
      <c r="AX121" s="255"/>
      <c r="AY121" s="255"/>
      <c r="AZ121" s="255"/>
      <c r="BA121" s="255"/>
      <c r="BB121" s="255"/>
      <c r="BC121" s="255"/>
      <c r="BD121" s="255"/>
      <c r="BE121" s="255"/>
      <c r="BF121" s="255"/>
      <c r="BG121" s="255"/>
      <c r="BH121" s="255"/>
      <c r="BI121" s="255"/>
      <c r="BJ121" s="255"/>
      <c r="BK121" s="255"/>
      <c r="BL121" s="255"/>
      <c r="BM121" s="255"/>
      <c r="BN121" s="255"/>
      <c r="BO121" s="255"/>
      <c r="BP121" s="255"/>
      <c r="BQ121" s="255"/>
      <c r="BR121" s="255"/>
      <c r="BS121" s="255"/>
    </row>
    <row r="122" spans="1:71" x14ac:dyDescent="0.25">
      <c r="A122" s="255"/>
      <c r="B122" s="240" t="s">
        <v>153</v>
      </c>
      <c r="C122" s="315">
        <v>3.8</v>
      </c>
      <c r="D122" s="334" t="s">
        <v>414</v>
      </c>
      <c r="E122" s="315">
        <v>0.6</v>
      </c>
      <c r="F122" s="239" t="s">
        <v>411</v>
      </c>
      <c r="G122" s="315"/>
      <c r="H122" s="293" t="s">
        <v>367</v>
      </c>
      <c r="I122" s="272">
        <v>0.3</v>
      </c>
      <c r="J122" s="240" t="s">
        <v>187</v>
      </c>
      <c r="K122" s="329">
        <f t="shared" si="22"/>
        <v>0</v>
      </c>
      <c r="L122" s="255"/>
      <c r="M122" s="255"/>
      <c r="N122" s="255"/>
      <c r="O122" s="255"/>
      <c r="P122" s="255"/>
      <c r="Q122" s="255"/>
      <c r="R122" s="255"/>
      <c r="S122" s="239" t="s">
        <v>423</v>
      </c>
      <c r="T122" s="284">
        <v>-30</v>
      </c>
      <c r="U122" s="284">
        <v>-20</v>
      </c>
      <c r="V122" s="284">
        <v>-10</v>
      </c>
      <c r="W122" s="284">
        <v>0</v>
      </c>
      <c r="X122" s="284">
        <v>10</v>
      </c>
      <c r="Y122" s="284">
        <v>20</v>
      </c>
      <c r="Z122" s="284">
        <v>30</v>
      </c>
      <c r="AA122" s="284">
        <v>40</v>
      </c>
      <c r="AB122" s="284">
        <v>50</v>
      </c>
      <c r="AC122" s="284">
        <v>60</v>
      </c>
      <c r="AD122" s="284">
        <v>70</v>
      </c>
      <c r="AE122" s="284">
        <v>80</v>
      </c>
      <c r="AF122" s="284">
        <v>90</v>
      </c>
      <c r="AG122" s="255"/>
      <c r="AH122" s="255"/>
      <c r="AI122" s="255"/>
      <c r="AJ122" s="255"/>
      <c r="AK122" s="255"/>
      <c r="AL122" s="255"/>
      <c r="AM122" s="255"/>
      <c r="AN122" s="255"/>
      <c r="AO122" s="255"/>
      <c r="AP122" s="284">
        <v>8.3000000000000007</v>
      </c>
      <c r="AQ122">
        <v>14.79</v>
      </c>
      <c r="AR122" s="255"/>
      <c r="AS122" s="255"/>
      <c r="AT122" s="255"/>
      <c r="AU122" s="255"/>
      <c r="AV122" s="255"/>
      <c r="AW122" s="255"/>
      <c r="AX122" s="255"/>
      <c r="AY122" s="255"/>
      <c r="AZ122" s="255"/>
      <c r="BA122" s="255"/>
      <c r="BB122" s="255"/>
      <c r="BC122" s="255"/>
      <c r="BD122" s="255"/>
      <c r="BE122" s="255"/>
      <c r="BF122" s="255"/>
      <c r="BG122" s="255"/>
      <c r="BH122" s="255"/>
      <c r="BI122" s="255"/>
      <c r="BJ122" s="255"/>
      <c r="BK122" s="255"/>
      <c r="BL122" s="255"/>
      <c r="BM122" s="255"/>
      <c r="BN122" s="255"/>
      <c r="BO122" s="255"/>
      <c r="BP122" s="255"/>
      <c r="BQ122" s="255"/>
      <c r="BR122" s="255"/>
      <c r="BS122" s="255"/>
    </row>
    <row r="123" spans="1:71" x14ac:dyDescent="0.25">
      <c r="A123" s="255"/>
      <c r="B123" s="240" t="s">
        <v>154</v>
      </c>
      <c r="C123" s="315">
        <v>6.9</v>
      </c>
      <c r="D123" s="334" t="s">
        <v>415</v>
      </c>
      <c r="E123" s="335" t="s">
        <v>496</v>
      </c>
      <c r="F123" s="239" t="s">
        <v>169</v>
      </c>
      <c r="G123" s="315"/>
      <c r="H123" s="293" t="s">
        <v>367</v>
      </c>
      <c r="I123" s="272">
        <v>0.7</v>
      </c>
      <c r="J123" s="240" t="s">
        <v>187</v>
      </c>
      <c r="K123" s="329">
        <f t="shared" si="22"/>
        <v>0</v>
      </c>
      <c r="L123" s="255"/>
      <c r="M123" s="255"/>
      <c r="N123" s="255"/>
      <c r="O123" s="255"/>
      <c r="P123" s="255"/>
      <c r="Q123" s="255"/>
      <c r="R123" s="255"/>
      <c r="S123" s="282">
        <v>0.3</v>
      </c>
      <c r="T123">
        <v>0.72</v>
      </c>
      <c r="U123">
        <v>0.84</v>
      </c>
      <c r="V123">
        <v>0.93</v>
      </c>
      <c r="W123">
        <v>1</v>
      </c>
      <c r="X123">
        <v>1.04</v>
      </c>
      <c r="Y123">
        <v>1.04</v>
      </c>
      <c r="Z123">
        <v>1.02</v>
      </c>
      <c r="AA123">
        <v>0.96</v>
      </c>
      <c r="AB123">
        <v>0.87</v>
      </c>
      <c r="AC123">
        <v>0.76</v>
      </c>
      <c r="AD123">
        <v>0.62</v>
      </c>
      <c r="AE123">
        <v>0.47</v>
      </c>
      <c r="AF123">
        <v>0.3</v>
      </c>
      <c r="AG123" s="255"/>
      <c r="AH123" s="255"/>
      <c r="AI123" s="255"/>
      <c r="AJ123" s="255"/>
      <c r="AK123" s="255"/>
      <c r="AL123" s="255"/>
      <c r="AM123" s="255"/>
      <c r="AN123" s="255"/>
      <c r="AO123" s="255"/>
      <c r="AP123" s="284">
        <v>8.4</v>
      </c>
      <c r="AQ123">
        <v>14.73</v>
      </c>
      <c r="AR123" s="255"/>
      <c r="AS123" s="255"/>
      <c r="AT123" s="255"/>
      <c r="AU123" s="255"/>
      <c r="AV123" s="255"/>
      <c r="AW123" s="255"/>
      <c r="AX123" s="255"/>
      <c r="AY123" s="255"/>
      <c r="AZ123" s="255"/>
      <c r="BA123" s="255"/>
      <c r="BB123" s="255"/>
      <c r="BC123" s="255"/>
      <c r="BD123" s="255"/>
      <c r="BE123" s="255"/>
      <c r="BF123" s="255"/>
      <c r="BG123" s="255"/>
      <c r="BH123" s="255"/>
      <c r="BI123" s="255"/>
      <c r="BJ123" s="255"/>
      <c r="BK123" s="255"/>
      <c r="BL123" s="255"/>
      <c r="BM123" s="255"/>
      <c r="BN123" s="255"/>
      <c r="BO123" s="255"/>
      <c r="BP123" s="255"/>
      <c r="BQ123" s="255"/>
      <c r="BR123" s="255"/>
      <c r="BS123" s="255"/>
    </row>
    <row r="124" spans="1:71" x14ac:dyDescent="0.25">
      <c r="A124" s="255"/>
      <c r="B124" s="240" t="s">
        <v>155</v>
      </c>
      <c r="C124" s="315">
        <v>6.2</v>
      </c>
      <c r="D124" s="255"/>
      <c r="E124" s="341"/>
      <c r="F124" s="239" t="s">
        <v>412</v>
      </c>
      <c r="G124" s="315">
        <v>18</v>
      </c>
      <c r="H124" s="293" t="s">
        <v>95</v>
      </c>
      <c r="I124" s="272">
        <v>0.7</v>
      </c>
      <c r="J124" s="240" t="s">
        <v>187</v>
      </c>
      <c r="K124" s="329">
        <f t="shared" si="22"/>
        <v>123.6</v>
      </c>
      <c r="L124" s="255"/>
      <c r="M124" s="255"/>
      <c r="N124" s="255"/>
      <c r="O124" s="255"/>
      <c r="P124" s="255"/>
      <c r="Q124" s="255"/>
      <c r="R124" s="255"/>
      <c r="S124" s="282">
        <v>0.1</v>
      </c>
      <c r="T124">
        <v>0.82</v>
      </c>
      <c r="U124">
        <v>0.91</v>
      </c>
      <c r="V124">
        <v>0.97</v>
      </c>
      <c r="W124">
        <v>1</v>
      </c>
      <c r="X124">
        <v>1</v>
      </c>
      <c r="Y124">
        <v>0.97</v>
      </c>
      <c r="Z124">
        <v>0.92</v>
      </c>
      <c r="AA124">
        <v>0.83</v>
      </c>
      <c r="AB124">
        <v>0.72</v>
      </c>
      <c r="AC124">
        <v>0.59</v>
      </c>
      <c r="AD124">
        <v>0.44</v>
      </c>
      <c r="AE124">
        <v>0.27</v>
      </c>
      <c r="AF124">
        <v>0.1</v>
      </c>
      <c r="AG124" s="255"/>
      <c r="AH124" s="255"/>
      <c r="AI124" s="255"/>
      <c r="AJ124" s="255"/>
      <c r="AK124" s="255"/>
      <c r="AL124" s="255"/>
      <c r="AM124" s="255"/>
      <c r="AN124" s="255"/>
      <c r="AO124" s="255"/>
      <c r="AP124" s="284">
        <v>8.5</v>
      </c>
      <c r="AQ124">
        <v>14.67</v>
      </c>
      <c r="AR124" s="255"/>
      <c r="AS124" s="255"/>
      <c r="AT124" s="255"/>
      <c r="AU124" s="255"/>
      <c r="AV124" s="255"/>
      <c r="AW124" s="255"/>
      <c r="AX124" s="255"/>
      <c r="AY124" s="255"/>
      <c r="AZ124" s="255"/>
      <c r="BA124" s="255"/>
      <c r="BB124" s="255"/>
      <c r="BC124" s="255"/>
      <c r="BD124" s="255"/>
      <c r="BE124" s="255"/>
      <c r="BF124" s="255"/>
      <c r="BG124" s="255"/>
      <c r="BH124" s="255"/>
      <c r="BI124" s="255"/>
      <c r="BJ124" s="255"/>
      <c r="BK124" s="255"/>
      <c r="BL124" s="255"/>
      <c r="BM124" s="255"/>
      <c r="BN124" s="255"/>
      <c r="BO124" s="255"/>
      <c r="BP124" s="255"/>
      <c r="BQ124" s="255"/>
      <c r="BR124" s="255"/>
      <c r="BS124" s="255"/>
    </row>
    <row r="125" spans="1:71" x14ac:dyDescent="0.25">
      <c r="A125" s="255"/>
      <c r="B125" s="255"/>
      <c r="C125" s="255"/>
      <c r="D125" s="255"/>
      <c r="E125" s="255"/>
      <c r="F125" s="304" t="s">
        <v>459</v>
      </c>
      <c r="G125" s="315"/>
      <c r="H125" s="343"/>
      <c r="I125" s="344"/>
      <c r="J125" s="240" t="s">
        <v>187</v>
      </c>
      <c r="K125" s="329">
        <f>TRUNC(IF(H125="Tm",G125*9.81,G125),2)</f>
        <v>0</v>
      </c>
      <c r="L125" s="255"/>
      <c r="M125" s="255"/>
      <c r="N125" s="255"/>
      <c r="O125" s="255"/>
      <c r="P125" s="255"/>
      <c r="Q125" s="255"/>
      <c r="R125" s="255"/>
      <c r="S125" s="282">
        <v>0</v>
      </c>
      <c r="T125">
        <v>0.87</v>
      </c>
      <c r="U125">
        <v>0.94</v>
      </c>
      <c r="V125">
        <v>0.98</v>
      </c>
      <c r="W125">
        <v>1</v>
      </c>
      <c r="X125">
        <v>0.98</v>
      </c>
      <c r="Y125">
        <v>0.94</v>
      </c>
      <c r="Z125">
        <v>0.87</v>
      </c>
      <c r="AA125">
        <v>0.77</v>
      </c>
      <c r="AB125">
        <v>0.64</v>
      </c>
      <c r="AC125">
        <v>0.5</v>
      </c>
      <c r="AD125">
        <v>0.34</v>
      </c>
      <c r="AE125">
        <v>0.17</v>
      </c>
      <c r="AF125">
        <v>0</v>
      </c>
      <c r="AG125" s="255"/>
      <c r="AH125" s="255"/>
      <c r="AI125" s="255"/>
      <c r="AJ125" s="255"/>
      <c r="AK125" s="255"/>
      <c r="AL125" s="255"/>
      <c r="AM125" s="255"/>
      <c r="AN125" s="255"/>
      <c r="AO125" s="255"/>
      <c r="AP125" s="284">
        <v>8.6</v>
      </c>
      <c r="AQ125">
        <v>14.61</v>
      </c>
      <c r="AR125" s="255"/>
      <c r="AS125" s="255"/>
      <c r="AT125" s="255"/>
      <c r="AU125" s="255"/>
      <c r="AV125" s="255"/>
      <c r="AW125" s="255"/>
      <c r="AX125" s="255"/>
      <c r="AY125" s="255"/>
      <c r="AZ125" s="255"/>
      <c r="BA125" s="255"/>
      <c r="BB125" s="255"/>
      <c r="BC125" s="255"/>
      <c r="BD125" s="255"/>
      <c r="BE125" s="255"/>
      <c r="BF125" s="255"/>
      <c r="BG125" s="255"/>
      <c r="BH125" s="255"/>
      <c r="BI125" s="255"/>
      <c r="BJ125" s="255"/>
      <c r="BK125" s="255"/>
      <c r="BL125" s="255"/>
      <c r="BM125" s="255"/>
      <c r="BN125" s="255"/>
      <c r="BO125" s="255"/>
      <c r="BP125" s="255"/>
      <c r="BQ125" s="255"/>
      <c r="BR125" s="255"/>
      <c r="BS125" s="255"/>
    </row>
    <row r="126" spans="1:71" x14ac:dyDescent="0.25">
      <c r="A126" s="255"/>
      <c r="B126" s="240" t="s">
        <v>173</v>
      </c>
      <c r="C126" s="240"/>
      <c r="D126" s="255"/>
      <c r="E126" s="240" t="s">
        <v>182</v>
      </c>
      <c r="F126" s="240" t="s">
        <v>157</v>
      </c>
      <c r="G126" s="240" t="s">
        <v>158</v>
      </c>
      <c r="H126" s="240" t="s">
        <v>159</v>
      </c>
      <c r="I126" s="240" t="s">
        <v>181</v>
      </c>
      <c r="J126" s="255"/>
      <c r="K126" s="255"/>
      <c r="L126" s="255"/>
      <c r="M126" s="255"/>
      <c r="N126" s="255"/>
      <c r="O126" s="255"/>
      <c r="P126" s="255"/>
      <c r="Q126" s="255"/>
      <c r="R126" s="255"/>
      <c r="S126" s="255"/>
      <c r="T126" s="255"/>
      <c r="U126" s="255"/>
      <c r="V126" s="255"/>
      <c r="W126" s="255"/>
      <c r="X126" s="255"/>
      <c r="Y126" s="255"/>
      <c r="Z126" s="255"/>
      <c r="AA126" s="255"/>
      <c r="AB126" s="255"/>
      <c r="AC126" s="255"/>
      <c r="AD126" s="255"/>
      <c r="AE126" s="255"/>
      <c r="AF126" s="255"/>
      <c r="AG126" s="255"/>
      <c r="AH126" s="255"/>
      <c r="AI126" s="255"/>
      <c r="AJ126" s="255"/>
      <c r="AK126" s="255"/>
      <c r="AL126" s="255"/>
      <c r="AM126" s="255"/>
      <c r="AN126" s="255"/>
      <c r="AO126" s="255"/>
      <c r="AP126" s="284">
        <v>8.6999999999999993</v>
      </c>
      <c r="AQ126">
        <v>14.55</v>
      </c>
      <c r="AR126" s="255"/>
      <c r="AS126" s="255"/>
      <c r="AT126" s="255"/>
      <c r="AU126" s="255"/>
      <c r="AV126" s="255"/>
      <c r="AW126" s="255"/>
      <c r="AX126" s="255"/>
      <c r="AY126" s="255"/>
      <c r="AZ126" s="255"/>
      <c r="BA126" s="255"/>
      <c r="BB126" s="255"/>
      <c r="BC126" s="255"/>
      <c r="BD126" s="255"/>
      <c r="BE126" s="255"/>
      <c r="BF126" s="255"/>
      <c r="BG126" s="255"/>
      <c r="BH126" s="255"/>
      <c r="BI126" s="255"/>
      <c r="BJ126" s="255"/>
      <c r="BK126" s="255"/>
      <c r="BL126" s="255"/>
      <c r="BM126" s="255"/>
      <c r="BN126" s="255"/>
      <c r="BO126" s="255"/>
      <c r="BP126" s="255"/>
      <c r="BQ126" s="255"/>
      <c r="BR126" s="255"/>
      <c r="BS126" s="255"/>
    </row>
    <row r="127" spans="1:71" x14ac:dyDescent="0.25">
      <c r="A127" s="255"/>
      <c r="B127" s="240" t="s">
        <v>174</v>
      </c>
      <c r="C127" s="243">
        <f>ROUND(C122*C119,2)</f>
        <v>2.58</v>
      </c>
      <c r="D127" s="255"/>
      <c r="E127" s="240" t="s">
        <v>177</v>
      </c>
      <c r="F127" s="271"/>
      <c r="G127" s="273">
        <f>E118</f>
        <v>24</v>
      </c>
      <c r="H127" s="273">
        <f>E119</f>
        <v>5.5</v>
      </c>
      <c r="I127" s="243">
        <f>IF(E123="Si",0,G127*H127)</f>
        <v>0</v>
      </c>
      <c r="J127" s="255"/>
      <c r="K127" s="255"/>
      <c r="L127" s="255"/>
      <c r="M127" s="255"/>
      <c r="N127" s="255"/>
      <c r="O127" s="255"/>
      <c r="P127" s="255"/>
      <c r="Q127" s="255"/>
      <c r="R127" s="255"/>
      <c r="S127" s="255"/>
      <c r="T127" s="255"/>
      <c r="U127" s="255"/>
      <c r="V127" s="255"/>
      <c r="W127" s="255"/>
      <c r="X127" s="255"/>
      <c r="Y127" s="255"/>
      <c r="Z127" s="255"/>
      <c r="AA127" s="255"/>
      <c r="AB127" s="255"/>
      <c r="AC127" s="255"/>
      <c r="AD127" s="255"/>
      <c r="AE127" s="255"/>
      <c r="AF127" s="255"/>
      <c r="AG127" s="255"/>
      <c r="AH127" s="255"/>
      <c r="AI127" s="255"/>
      <c r="AJ127" s="255"/>
      <c r="AK127" s="255"/>
      <c r="AL127" s="255"/>
      <c r="AM127" s="255"/>
      <c r="AN127" s="255"/>
      <c r="AO127" s="255"/>
      <c r="AP127" s="284">
        <v>8.8000000000000007</v>
      </c>
      <c r="AQ127">
        <v>14.5</v>
      </c>
      <c r="AR127" s="255"/>
      <c r="AS127" s="255"/>
      <c r="AT127" s="255"/>
      <c r="AU127" s="255"/>
      <c r="AV127" s="255"/>
      <c r="AW127" s="255"/>
      <c r="AX127" s="255"/>
      <c r="AY127" s="255"/>
      <c r="AZ127" s="255"/>
      <c r="BA127" s="255"/>
      <c r="BB127" s="255"/>
      <c r="BC127" s="255"/>
      <c r="BD127" s="255"/>
      <c r="BE127" s="255"/>
      <c r="BF127" s="255"/>
      <c r="BG127" s="255"/>
      <c r="BH127" s="255"/>
      <c r="BI127" s="255"/>
      <c r="BJ127" s="255"/>
      <c r="BK127" s="255"/>
      <c r="BL127" s="255"/>
      <c r="BM127" s="255"/>
      <c r="BN127" s="255"/>
      <c r="BO127" s="255"/>
      <c r="BP127" s="255"/>
      <c r="BQ127" s="255"/>
      <c r="BR127" s="255"/>
      <c r="BS127" s="255"/>
    </row>
    <row r="128" spans="1:71" x14ac:dyDescent="0.25">
      <c r="A128" s="255"/>
      <c r="B128" s="240" t="s">
        <v>175</v>
      </c>
      <c r="C128" s="243">
        <f>ROUND(C123*C119*C120,2)</f>
        <v>5.82</v>
      </c>
      <c r="D128" s="255"/>
      <c r="E128" s="240" t="s">
        <v>178</v>
      </c>
      <c r="F128" s="273">
        <f>E117</f>
        <v>12</v>
      </c>
      <c r="G128" s="271"/>
      <c r="H128" s="273">
        <f>E119</f>
        <v>5.5</v>
      </c>
      <c r="I128" s="243">
        <f>F128*H128</f>
        <v>66</v>
      </c>
      <c r="J128" s="255"/>
      <c r="K128" s="255"/>
      <c r="L128" s="255"/>
      <c r="M128" s="255"/>
      <c r="N128" s="255"/>
      <c r="O128" s="255"/>
      <c r="P128" s="255"/>
      <c r="Q128" s="255"/>
      <c r="R128" s="255"/>
      <c r="S128" s="255"/>
      <c r="T128" s="255"/>
      <c r="U128" s="255"/>
      <c r="V128" s="255"/>
      <c r="W128" s="255"/>
      <c r="X128" s="255"/>
      <c r="Y128" s="255"/>
      <c r="Z128" s="255"/>
      <c r="AA128" s="255"/>
      <c r="AB128" s="255"/>
      <c r="AC128" s="255"/>
      <c r="AD128" s="255"/>
      <c r="AE128" s="255"/>
      <c r="AF128" s="255"/>
      <c r="AG128" s="255"/>
      <c r="AH128" s="255"/>
      <c r="AI128" s="255"/>
      <c r="AJ128" s="255"/>
      <c r="AK128" s="255"/>
      <c r="AL128" s="255"/>
      <c r="AM128" s="255"/>
      <c r="AN128" s="255"/>
      <c r="AO128" s="255"/>
      <c r="AP128" s="284">
        <v>8.9</v>
      </c>
      <c r="AQ128">
        <v>14.45</v>
      </c>
      <c r="AR128" s="255"/>
      <c r="AS128" s="255"/>
      <c r="AT128" s="255"/>
      <c r="AU128" s="255"/>
      <c r="AV128" s="255"/>
      <c r="AW128" s="255"/>
      <c r="AX128" s="255"/>
      <c r="AY128" s="255"/>
      <c r="AZ128" s="255"/>
      <c r="BA128" s="255"/>
      <c r="BB128" s="255"/>
      <c r="BC128" s="255"/>
      <c r="BD128" s="255"/>
      <c r="BE128" s="255"/>
      <c r="BF128" s="255"/>
      <c r="BG128" s="255"/>
      <c r="BH128" s="255"/>
      <c r="BI128" s="255"/>
      <c r="BJ128" s="255"/>
      <c r="BK128" s="255"/>
      <c r="BL128" s="255"/>
      <c r="BM128" s="255"/>
      <c r="BN128" s="255"/>
      <c r="BO128" s="255"/>
      <c r="BP128" s="255"/>
      <c r="BQ128" s="255"/>
      <c r="BR128" s="255"/>
      <c r="BS128" s="255"/>
    </row>
    <row r="129" spans="1:71" x14ac:dyDescent="0.25">
      <c r="A129" s="255"/>
      <c r="B129" s="240" t="s">
        <v>176</v>
      </c>
      <c r="C129" s="243">
        <f>ROUND(C124*C119,2)</f>
        <v>4.22</v>
      </c>
      <c r="D129" s="255"/>
      <c r="E129" s="240" t="s">
        <v>179</v>
      </c>
      <c r="F129" s="271"/>
      <c r="G129" s="273">
        <f>E118</f>
        <v>24</v>
      </c>
      <c r="H129" s="273">
        <f>IF(E119&lt;2,E119,2)</f>
        <v>2</v>
      </c>
      <c r="I129" s="243">
        <f>IF(E123="Si",0,G129*H129)</f>
        <v>0</v>
      </c>
      <c r="J129" s="255"/>
      <c r="K129" s="255"/>
      <c r="L129" s="255"/>
      <c r="M129" s="255"/>
      <c r="N129" s="255"/>
      <c r="O129" s="255"/>
      <c r="P129" s="255"/>
      <c r="Q129" s="255"/>
      <c r="R129" s="255"/>
      <c r="S129" s="255"/>
      <c r="T129" s="255"/>
      <c r="U129" s="255"/>
      <c r="V129" s="255"/>
      <c r="W129" s="255"/>
      <c r="X129" s="255"/>
      <c r="Y129" s="255"/>
      <c r="Z129" s="255"/>
      <c r="AA129" s="255"/>
      <c r="AB129" s="255"/>
      <c r="AC129" s="255"/>
      <c r="AD129" s="255"/>
      <c r="AE129" s="255"/>
      <c r="AF129" s="255"/>
      <c r="AG129" s="255"/>
      <c r="AH129" s="255"/>
      <c r="AI129" s="255"/>
      <c r="AJ129" s="255"/>
      <c r="AK129" s="255"/>
      <c r="AL129" s="255"/>
      <c r="AM129" s="255"/>
      <c r="AN129" s="255"/>
      <c r="AO129" s="255"/>
      <c r="AP129" s="284">
        <v>9</v>
      </c>
      <c r="AQ129">
        <v>14.4</v>
      </c>
      <c r="AR129" s="255"/>
      <c r="AS129" s="255"/>
      <c r="AT129" s="255"/>
      <c r="AU129" s="255"/>
      <c r="AV129" s="255"/>
      <c r="AW129" s="255"/>
      <c r="AX129" s="255"/>
      <c r="AY129" s="255"/>
      <c r="AZ129" s="255"/>
      <c r="BA129" s="255"/>
      <c r="BB129" s="255"/>
      <c r="BC129" s="255"/>
      <c r="BD129" s="255"/>
      <c r="BE129" s="255"/>
      <c r="BF129" s="255"/>
      <c r="BG129" s="255"/>
      <c r="BH129" s="255"/>
      <c r="BI129" s="255"/>
      <c r="BJ129" s="255"/>
      <c r="BK129" s="255"/>
      <c r="BL129" s="255"/>
      <c r="BM129" s="255"/>
      <c r="BN129" s="255"/>
      <c r="BO129" s="255"/>
      <c r="BP129" s="255"/>
      <c r="BQ129" s="255"/>
      <c r="BR129" s="255"/>
      <c r="BS129" s="255"/>
    </row>
    <row r="130" spans="1:71" x14ac:dyDescent="0.25">
      <c r="A130" s="255"/>
      <c r="B130" s="255"/>
      <c r="C130" s="255"/>
      <c r="D130" s="255"/>
      <c r="E130" s="240" t="s">
        <v>180</v>
      </c>
      <c r="F130" s="273">
        <f>E117</f>
        <v>12</v>
      </c>
      <c r="G130" s="271"/>
      <c r="H130" s="273">
        <f>IF(E119&lt;2,E119,2)</f>
        <v>2</v>
      </c>
      <c r="I130" s="243">
        <f>F130*H130</f>
        <v>24</v>
      </c>
      <c r="J130" s="255"/>
      <c r="K130" s="255"/>
      <c r="L130" s="255"/>
      <c r="M130" s="255"/>
      <c r="N130" s="255"/>
      <c r="O130" s="255"/>
      <c r="P130" s="255"/>
      <c r="Q130" s="255"/>
      <c r="R130" s="255"/>
      <c r="S130" s="255"/>
      <c r="T130" s="255"/>
      <c r="U130" s="255"/>
      <c r="V130" s="255"/>
      <c r="W130" s="255"/>
      <c r="X130" s="255"/>
      <c r="Y130" s="255"/>
      <c r="Z130" s="255"/>
      <c r="AA130" s="255"/>
      <c r="AB130" s="255"/>
      <c r="AC130" s="255"/>
      <c r="AD130" s="255"/>
      <c r="AE130" s="255"/>
      <c r="AF130" s="255"/>
      <c r="AG130" s="255"/>
      <c r="AH130" s="255"/>
      <c r="AI130" s="255"/>
      <c r="AJ130" s="255"/>
      <c r="AK130" s="255"/>
      <c r="AL130" s="255"/>
      <c r="AM130" s="255"/>
      <c r="AN130" s="255"/>
      <c r="AO130" s="255"/>
      <c r="AP130" s="284">
        <v>9.1</v>
      </c>
      <c r="AQ130">
        <v>14.35</v>
      </c>
      <c r="AR130" s="255"/>
      <c r="AS130" s="255"/>
      <c r="AT130" s="255"/>
      <c r="AU130" s="255"/>
      <c r="AV130" s="255"/>
      <c r="AW130" s="255"/>
      <c r="AX130" s="255"/>
      <c r="AY130" s="255"/>
      <c r="AZ130" s="255"/>
      <c r="BA130" s="255"/>
      <c r="BB130" s="255"/>
      <c r="BC130" s="255"/>
      <c r="BD130" s="255"/>
      <c r="BE130" s="255"/>
      <c r="BF130" s="255"/>
      <c r="BG130" s="255"/>
      <c r="BH130" s="255"/>
      <c r="BI130" s="255"/>
      <c r="BJ130" s="255"/>
      <c r="BK130" s="255"/>
      <c r="BL130" s="255"/>
      <c r="BM130" s="255"/>
      <c r="BN130" s="255"/>
      <c r="BO130" s="255"/>
      <c r="BP130" s="255"/>
      <c r="BQ130" s="255"/>
      <c r="BR130" s="255"/>
      <c r="BS130" s="255"/>
    </row>
    <row r="131" spans="1:71" x14ac:dyDescent="0.25">
      <c r="A131" s="255"/>
      <c r="B131" s="240" t="s">
        <v>188</v>
      </c>
      <c r="C131" s="240"/>
      <c r="D131" s="255"/>
      <c r="E131" s="255"/>
      <c r="F131" s="255"/>
      <c r="G131" s="255"/>
      <c r="H131" s="255"/>
      <c r="I131" s="255"/>
      <c r="J131" s="255"/>
      <c r="K131" s="255"/>
      <c r="L131" s="255"/>
      <c r="M131" s="255"/>
      <c r="N131" s="255"/>
      <c r="O131" s="255"/>
      <c r="P131" s="255"/>
      <c r="Q131" s="255"/>
      <c r="R131" s="255"/>
      <c r="S131" s="255"/>
      <c r="T131" s="255"/>
      <c r="U131" s="255"/>
      <c r="V131" s="255"/>
      <c r="W131" s="255"/>
      <c r="X131" s="255"/>
      <c r="Y131" s="255"/>
      <c r="Z131" s="255"/>
      <c r="AA131" s="255"/>
      <c r="AB131" s="255"/>
      <c r="AC131" s="255"/>
      <c r="AD131" s="255"/>
      <c r="AE131" s="255"/>
      <c r="AF131" s="255"/>
      <c r="AG131" s="255"/>
      <c r="AH131" s="255"/>
      <c r="AI131" s="255"/>
      <c r="AJ131" s="255"/>
      <c r="AK131" s="255"/>
      <c r="AL131" s="255"/>
      <c r="AM131" s="255"/>
      <c r="AN131" s="255"/>
      <c r="AO131" s="255"/>
      <c r="AP131" s="284">
        <v>9.1999999999999993</v>
      </c>
      <c r="AQ131">
        <v>14.31</v>
      </c>
      <c r="AR131" s="255"/>
      <c r="AS131" s="255"/>
      <c r="AT131" s="255"/>
      <c r="AU131" s="255"/>
      <c r="AV131" s="255"/>
      <c r="AW131" s="255"/>
      <c r="AX131" s="255"/>
      <c r="AY131" s="255"/>
      <c r="AZ131" s="255"/>
      <c r="BA131" s="255"/>
      <c r="BB131" s="255"/>
      <c r="BC131" s="255"/>
      <c r="BD131" s="255"/>
      <c r="BE131" s="255"/>
      <c r="BF131" s="255"/>
      <c r="BG131" s="255"/>
      <c r="BH131" s="255"/>
      <c r="BI131" s="255"/>
      <c r="BJ131" s="255"/>
      <c r="BK131" s="255"/>
      <c r="BL131" s="255"/>
      <c r="BM131" s="255"/>
      <c r="BN131" s="255"/>
      <c r="BO131" s="255"/>
      <c r="BP131" s="255"/>
      <c r="BQ131" s="255"/>
      <c r="BR131" s="255"/>
      <c r="BS131" s="255"/>
    </row>
    <row r="132" spans="1:71" x14ac:dyDescent="0.25">
      <c r="A132" s="255"/>
      <c r="B132" s="255"/>
      <c r="C132" s="240" t="s">
        <v>45</v>
      </c>
      <c r="D132" s="240" t="s">
        <v>192</v>
      </c>
      <c r="E132" s="240" t="s">
        <v>193</v>
      </c>
      <c r="F132" s="240" t="s">
        <v>194</v>
      </c>
      <c r="G132" s="240" t="s">
        <v>195</v>
      </c>
      <c r="H132" s="255"/>
      <c r="I132" s="255"/>
      <c r="J132" s="255"/>
      <c r="K132" s="255"/>
      <c r="L132" s="255"/>
      <c r="M132" s="255"/>
      <c r="N132" s="255"/>
      <c r="O132" s="255"/>
      <c r="P132" s="255"/>
      <c r="Q132" s="255"/>
      <c r="R132" s="255"/>
      <c r="S132" s="255"/>
      <c r="T132" s="255"/>
      <c r="U132" s="255"/>
      <c r="V132" s="255"/>
      <c r="W132" s="255"/>
      <c r="X132" s="255"/>
      <c r="Y132" s="255"/>
      <c r="Z132" s="255"/>
      <c r="AA132" s="255"/>
      <c r="AB132" s="255"/>
      <c r="AC132" s="255"/>
      <c r="AD132" s="255"/>
      <c r="AE132" s="255"/>
      <c r="AF132" s="255"/>
      <c r="AG132" s="255"/>
      <c r="AH132" s="255"/>
      <c r="AI132" s="255"/>
      <c r="AJ132" s="255"/>
      <c r="AK132" s="255"/>
      <c r="AL132" s="255"/>
      <c r="AM132" s="255"/>
      <c r="AN132" s="255"/>
      <c r="AO132" s="255"/>
      <c r="AP132" s="284">
        <v>9.3000000000000007</v>
      </c>
      <c r="AQ132">
        <v>14.27</v>
      </c>
      <c r="AR132" s="255"/>
      <c r="AS132" s="255"/>
      <c r="AT132" s="255"/>
      <c r="AU132" s="255"/>
      <c r="AV132" s="255"/>
      <c r="AW132" s="255"/>
      <c r="AX132" s="255"/>
      <c r="AY132" s="255"/>
      <c r="AZ132" s="255"/>
      <c r="BA132" s="255"/>
      <c r="BB132" s="255"/>
      <c r="BC132" s="255"/>
      <c r="BD132" s="255"/>
      <c r="BE132" s="255"/>
      <c r="BF132" s="255"/>
      <c r="BG132" s="255"/>
      <c r="BH132" s="255"/>
      <c r="BI132" s="255"/>
      <c r="BJ132" s="255"/>
      <c r="BK132" s="255"/>
      <c r="BL132" s="255"/>
      <c r="BM132" s="255"/>
      <c r="BN132" s="255"/>
      <c r="BO132" s="255"/>
      <c r="BP132" s="255"/>
      <c r="BQ132" s="255"/>
      <c r="BR132" s="255"/>
      <c r="BS132" s="255"/>
    </row>
    <row r="133" spans="1:71" x14ac:dyDescent="0.25">
      <c r="A133" s="255"/>
      <c r="B133" s="240" t="s">
        <v>189</v>
      </c>
      <c r="C133" s="273">
        <f>E$120</f>
        <v>429</v>
      </c>
      <c r="D133" s="274">
        <f>C127</f>
        <v>2.58</v>
      </c>
      <c r="E133" s="270">
        <f>I127</f>
        <v>0</v>
      </c>
      <c r="F133" s="270">
        <f>I129</f>
        <v>0</v>
      </c>
      <c r="G133" s="243">
        <f>C133*D133+E133+F133</f>
        <v>1106.82</v>
      </c>
      <c r="H133" s="255"/>
      <c r="I133" s="255"/>
      <c r="J133" s="255"/>
      <c r="K133" s="255"/>
      <c r="L133" s="255"/>
      <c r="M133" s="255"/>
      <c r="N133" s="255"/>
      <c r="O133" s="255"/>
      <c r="P133" s="255"/>
      <c r="Q133" s="255"/>
      <c r="R133" s="255"/>
      <c r="S133" s="255"/>
      <c r="T133" s="255"/>
      <c r="U133" s="255"/>
      <c r="V133" s="255"/>
      <c r="W133" s="255"/>
      <c r="X133" s="255"/>
      <c r="Y133" s="255"/>
      <c r="Z133" s="255"/>
      <c r="AA133" s="255"/>
      <c r="AB133" s="255"/>
      <c r="AC133" s="255"/>
      <c r="AD133" s="255"/>
      <c r="AE133" s="255"/>
      <c r="AF133" s="255"/>
      <c r="AG133" s="255"/>
      <c r="AH133" s="255"/>
      <c r="AI133" s="255"/>
      <c r="AJ133" s="255"/>
      <c r="AK133" s="255"/>
      <c r="AL133" s="255"/>
      <c r="AM133" s="255"/>
      <c r="AN133" s="255"/>
      <c r="AO133" s="255"/>
      <c r="AP133" s="284">
        <v>9.4</v>
      </c>
      <c r="AQ133">
        <v>14.23</v>
      </c>
      <c r="AR133" s="255"/>
      <c r="AS133" s="255"/>
      <c r="AT133" s="255"/>
      <c r="AU133" s="255"/>
      <c r="AV133" s="255"/>
      <c r="AW133" s="255"/>
      <c r="AX133" s="255"/>
      <c r="AY133" s="255"/>
      <c r="AZ133" s="255"/>
      <c r="BA133" s="255"/>
      <c r="BB133" s="255"/>
      <c r="BC133" s="255"/>
      <c r="BD133" s="255"/>
      <c r="BE133" s="255"/>
      <c r="BF133" s="255"/>
      <c r="BG133" s="255"/>
      <c r="BH133" s="255"/>
      <c r="BI133" s="255"/>
      <c r="BJ133" s="255"/>
      <c r="BK133" s="255"/>
      <c r="BL133" s="255"/>
      <c r="BM133" s="255"/>
      <c r="BN133" s="255"/>
      <c r="BO133" s="255"/>
      <c r="BP133" s="255"/>
      <c r="BQ133" s="255"/>
      <c r="BR133" s="255"/>
      <c r="BS133" s="255"/>
    </row>
    <row r="134" spans="1:71" x14ac:dyDescent="0.25">
      <c r="A134" s="255"/>
      <c r="B134" s="240" t="s">
        <v>190</v>
      </c>
      <c r="C134" s="273">
        <f t="shared" ref="C134:C135" si="23">E$120</f>
        <v>429</v>
      </c>
      <c r="D134" s="274">
        <f>C128</f>
        <v>5.82</v>
      </c>
      <c r="E134" s="270">
        <f>I128</f>
        <v>66</v>
      </c>
      <c r="F134" s="270">
        <f>I130</f>
        <v>24</v>
      </c>
      <c r="G134" s="243">
        <f>C134*D134+E134+F134</f>
        <v>2586.7800000000002</v>
      </c>
      <c r="H134" s="255"/>
      <c r="I134" s="255"/>
      <c r="J134" s="255"/>
      <c r="K134" s="255"/>
      <c r="L134" s="255"/>
      <c r="M134" s="255"/>
      <c r="N134" s="255"/>
      <c r="O134" s="255"/>
      <c r="P134" s="255"/>
      <c r="Q134" s="255"/>
      <c r="R134" s="255"/>
      <c r="S134" s="255"/>
      <c r="T134" s="255"/>
      <c r="U134" s="255"/>
      <c r="V134" s="255"/>
      <c r="W134" s="255"/>
      <c r="X134" s="255"/>
      <c r="Y134" s="255"/>
      <c r="Z134" s="255"/>
      <c r="AA134" s="255"/>
      <c r="AB134" s="255"/>
      <c r="AC134" s="255"/>
      <c r="AD134" s="255"/>
      <c r="AE134" s="255"/>
      <c r="AF134" s="255"/>
      <c r="AG134" s="255"/>
      <c r="AH134" s="255"/>
      <c r="AI134" s="255"/>
      <c r="AJ134" s="255"/>
      <c r="AK134" s="255"/>
      <c r="AL134" s="255"/>
      <c r="AM134" s="255"/>
      <c r="AN134" s="255"/>
      <c r="AO134" s="255"/>
      <c r="AP134" s="284">
        <v>9.5</v>
      </c>
      <c r="AQ134">
        <v>14.19</v>
      </c>
      <c r="AR134" s="255"/>
      <c r="AS134" s="255"/>
      <c r="AT134" s="255"/>
      <c r="AU134" s="255"/>
      <c r="AV134" s="255"/>
      <c r="AW134" s="255"/>
      <c r="AX134" s="255"/>
      <c r="AY134" s="255"/>
      <c r="AZ134" s="255"/>
      <c r="BA134" s="255"/>
      <c r="BB134" s="255"/>
      <c r="BC134" s="255"/>
      <c r="BD134" s="255"/>
      <c r="BE134" s="255"/>
      <c r="BF134" s="255"/>
      <c r="BG134" s="255"/>
      <c r="BH134" s="255"/>
      <c r="BI134" s="255"/>
      <c r="BJ134" s="255"/>
      <c r="BK134" s="255"/>
      <c r="BL134" s="255"/>
      <c r="BM134" s="255"/>
      <c r="BN134" s="255"/>
      <c r="BO134" s="255"/>
      <c r="BP134" s="255"/>
      <c r="BQ134" s="255"/>
      <c r="BR134" s="255"/>
      <c r="BS134" s="255"/>
    </row>
    <row r="135" spans="1:71" x14ac:dyDescent="0.25">
      <c r="A135" s="255"/>
      <c r="B135" s="240" t="s">
        <v>191</v>
      </c>
      <c r="C135" s="273">
        <f t="shared" si="23"/>
        <v>429</v>
      </c>
      <c r="D135" s="274">
        <f>C129</f>
        <v>4.22</v>
      </c>
      <c r="E135" s="271"/>
      <c r="F135" s="271"/>
      <c r="G135" s="243">
        <f>C135*D135</f>
        <v>1810.3799999999999</v>
      </c>
      <c r="H135" s="255"/>
      <c r="I135" s="255"/>
      <c r="J135" s="255"/>
      <c r="K135" s="255"/>
      <c r="L135" s="255"/>
      <c r="M135" s="255"/>
      <c r="N135" s="255"/>
      <c r="O135" s="255"/>
      <c r="P135" s="255"/>
      <c r="Q135" s="255"/>
      <c r="R135" s="255"/>
      <c r="S135" s="255"/>
      <c r="T135" s="255"/>
      <c r="U135" s="255"/>
      <c r="V135" s="255"/>
      <c r="W135" s="255"/>
      <c r="X135" s="255"/>
      <c r="Y135" s="255"/>
      <c r="Z135" s="255"/>
      <c r="AA135" s="255"/>
      <c r="AB135" s="255"/>
      <c r="AC135" s="255"/>
      <c r="AD135" s="255"/>
      <c r="AE135" s="255"/>
      <c r="AF135" s="255"/>
      <c r="AG135" s="255"/>
      <c r="AH135" s="255"/>
      <c r="AI135" s="255"/>
      <c r="AJ135" s="255"/>
      <c r="AK135" s="255"/>
      <c r="AL135" s="255"/>
      <c r="AM135" s="255"/>
      <c r="AN135" s="255"/>
      <c r="AO135" s="255"/>
      <c r="AP135" s="284">
        <v>9.6</v>
      </c>
      <c r="AQ135">
        <v>14.15</v>
      </c>
      <c r="AR135" s="255"/>
      <c r="AS135" s="255"/>
      <c r="AT135" s="255"/>
      <c r="AU135" s="255"/>
      <c r="AV135" s="255"/>
      <c r="AW135" s="255"/>
      <c r="AX135" s="255"/>
      <c r="AY135" s="255"/>
      <c r="AZ135" s="255"/>
      <c r="BA135" s="255"/>
      <c r="BB135" s="255"/>
      <c r="BC135" s="255"/>
      <c r="BD135" s="255"/>
      <c r="BE135" s="255"/>
      <c r="BF135" s="255"/>
      <c r="BG135" s="255"/>
      <c r="BH135" s="255"/>
      <c r="BI135" s="255"/>
      <c r="BJ135" s="255"/>
      <c r="BK135" s="255"/>
      <c r="BL135" s="255"/>
      <c r="BM135" s="255"/>
      <c r="BN135" s="255"/>
      <c r="BO135" s="255"/>
      <c r="BP135" s="255"/>
      <c r="BQ135" s="255"/>
      <c r="BR135" s="255"/>
      <c r="BS135" s="255"/>
    </row>
    <row r="136" spans="1:71" x14ac:dyDescent="0.25">
      <c r="A136" s="255"/>
      <c r="B136" s="255"/>
      <c r="C136" s="255"/>
      <c r="D136" s="255"/>
      <c r="E136" s="255"/>
      <c r="F136" s="255"/>
      <c r="G136" s="255"/>
      <c r="H136" s="255"/>
      <c r="I136" s="255"/>
      <c r="J136" s="255"/>
      <c r="K136" s="255"/>
      <c r="L136" s="255"/>
      <c r="M136" s="255"/>
      <c r="N136" s="255"/>
      <c r="O136" s="255"/>
      <c r="P136" s="255"/>
      <c r="Q136" s="255"/>
      <c r="R136" s="255"/>
      <c r="S136" s="255"/>
      <c r="T136" s="255"/>
      <c r="U136" s="255"/>
      <c r="V136" s="255"/>
      <c r="W136" s="255"/>
      <c r="X136" s="255"/>
      <c r="Y136" s="255"/>
      <c r="Z136" s="255"/>
      <c r="AA136" s="255"/>
      <c r="AB136" s="255"/>
      <c r="AC136" s="255"/>
      <c r="AD136" s="255"/>
      <c r="AE136" s="255"/>
      <c r="AF136" s="255"/>
      <c r="AG136" s="255"/>
      <c r="AH136" s="255"/>
      <c r="AI136" s="255"/>
      <c r="AJ136" s="255"/>
      <c r="AK136" s="255"/>
      <c r="AL136" s="255"/>
      <c r="AM136" s="255"/>
      <c r="AN136" s="255"/>
      <c r="AO136" s="255"/>
      <c r="AP136" s="284">
        <v>9.6999999999999993</v>
      </c>
      <c r="AQ136">
        <v>14.12</v>
      </c>
      <c r="AR136" s="255"/>
      <c r="AS136" s="255"/>
      <c r="AT136" s="255"/>
      <c r="AU136" s="255"/>
      <c r="AV136" s="255"/>
      <c r="AW136" s="255"/>
      <c r="AX136" s="255"/>
      <c r="AY136" s="255"/>
      <c r="AZ136" s="255"/>
      <c r="BA136" s="255"/>
      <c r="BB136" s="255"/>
      <c r="BC136" s="255"/>
      <c r="BD136" s="255"/>
      <c r="BE136" s="255"/>
      <c r="BF136" s="255"/>
      <c r="BG136" s="255"/>
      <c r="BH136" s="255"/>
      <c r="BI136" s="255"/>
      <c r="BJ136" s="255"/>
      <c r="BK136" s="255"/>
      <c r="BL136" s="255"/>
      <c r="BM136" s="255"/>
      <c r="BN136" s="255"/>
      <c r="BO136" s="255"/>
      <c r="BP136" s="255"/>
      <c r="BQ136" s="255"/>
      <c r="BR136" s="255"/>
      <c r="BS136" s="255"/>
    </row>
    <row r="137" spans="1:71" x14ac:dyDescent="0.25">
      <c r="A137" s="255"/>
      <c r="B137" s="239" t="s">
        <v>416</v>
      </c>
      <c r="C137" s="255"/>
      <c r="D137" s="255"/>
      <c r="E137" s="255"/>
      <c r="F137" s="255"/>
      <c r="G137" s="255"/>
      <c r="H137" s="255"/>
      <c r="I137" s="255"/>
      <c r="J137" s="255"/>
      <c r="K137" s="255"/>
      <c r="L137" s="255"/>
      <c r="M137" s="255"/>
      <c r="N137" s="255"/>
      <c r="O137" s="255"/>
      <c r="P137" s="255"/>
      <c r="Q137" s="255"/>
      <c r="R137" s="255"/>
      <c r="S137" s="255"/>
      <c r="T137" s="255"/>
      <c r="U137" s="255"/>
      <c r="V137" s="255"/>
      <c r="W137" s="255"/>
      <c r="X137" s="255"/>
      <c r="Y137" s="255"/>
      <c r="Z137" s="255"/>
      <c r="AA137" s="255"/>
      <c r="AB137" s="255"/>
      <c r="AC137" s="255"/>
      <c r="AD137" s="255"/>
      <c r="AE137" s="255"/>
      <c r="AF137" s="255"/>
      <c r="AG137" s="255"/>
      <c r="AH137" s="255"/>
      <c r="AI137" s="255"/>
      <c r="AJ137" s="255"/>
      <c r="AK137" s="255"/>
      <c r="AL137" s="255"/>
      <c r="AM137" s="255"/>
      <c r="AN137" s="255"/>
      <c r="AO137" s="255"/>
      <c r="AP137" s="284">
        <v>9.8000000000000007</v>
      </c>
      <c r="AQ137">
        <v>14.08</v>
      </c>
      <c r="AR137" s="255"/>
      <c r="AS137" s="255"/>
      <c r="AT137" s="255"/>
      <c r="AU137" s="255"/>
      <c r="AV137" s="255"/>
      <c r="AW137" s="255"/>
      <c r="AX137" s="255"/>
      <c r="AY137" s="255"/>
      <c r="AZ137" s="255"/>
      <c r="BA137" s="255"/>
      <c r="BB137" s="255"/>
      <c r="BC137" s="255"/>
      <c r="BD137" s="255"/>
      <c r="BE137" s="255"/>
      <c r="BF137" s="255"/>
      <c r="BG137" s="255"/>
      <c r="BH137" s="255"/>
      <c r="BI137" s="255"/>
      <c r="BJ137" s="255"/>
      <c r="BK137" s="255"/>
      <c r="BL137" s="255"/>
      <c r="BM137" s="255"/>
      <c r="BN137" s="255"/>
      <c r="BO137" s="255"/>
      <c r="BP137" s="255"/>
      <c r="BQ137" s="255"/>
      <c r="BR137" s="255"/>
      <c r="BS137" s="255"/>
    </row>
    <row r="138" spans="1:71" x14ac:dyDescent="0.25">
      <c r="A138" s="255"/>
      <c r="B138" s="239" t="s">
        <v>417</v>
      </c>
      <c r="C138" s="240">
        <v>1</v>
      </c>
      <c r="D138" s="240">
        <v>2</v>
      </c>
      <c r="E138" s="240">
        <v>3</v>
      </c>
      <c r="F138" s="240">
        <v>4</v>
      </c>
      <c r="G138" s="240">
        <v>5</v>
      </c>
      <c r="H138" s="240">
        <v>6</v>
      </c>
      <c r="I138" s="240">
        <v>7</v>
      </c>
      <c r="J138" s="255"/>
      <c r="K138" s="255"/>
      <c r="L138" s="255"/>
      <c r="M138" s="255"/>
      <c r="N138" s="255"/>
      <c r="O138" s="255"/>
      <c r="P138" s="255"/>
      <c r="Q138" s="255"/>
      <c r="R138" s="255"/>
      <c r="S138" s="255"/>
      <c r="T138" s="255"/>
      <c r="U138" s="255"/>
      <c r="V138" s="255"/>
      <c r="W138" s="255"/>
      <c r="X138" s="255"/>
      <c r="Y138" s="255"/>
      <c r="Z138" s="255"/>
      <c r="AA138" s="255"/>
      <c r="AB138" s="255"/>
      <c r="AC138" s="255"/>
      <c r="AD138" s="255"/>
      <c r="AE138" s="255"/>
      <c r="AF138" s="255"/>
      <c r="AG138" s="255"/>
      <c r="AH138" s="255"/>
      <c r="AI138" s="255"/>
      <c r="AJ138" s="255"/>
      <c r="AK138" s="255"/>
      <c r="AL138" s="255"/>
      <c r="AM138" s="255"/>
      <c r="AN138" s="255"/>
      <c r="AO138" s="255"/>
      <c r="AP138" s="284">
        <v>9.9</v>
      </c>
      <c r="AQ138">
        <v>14.05</v>
      </c>
      <c r="AR138" s="255"/>
      <c r="AS138" s="255"/>
      <c r="AT138" s="255"/>
      <c r="AU138" s="255"/>
      <c r="AV138" s="255"/>
      <c r="AW138" s="255"/>
      <c r="AX138" s="255"/>
      <c r="AY138" s="255"/>
      <c r="AZ138" s="255"/>
      <c r="BA138" s="255"/>
      <c r="BB138" s="255"/>
      <c r="BC138" s="255"/>
      <c r="BD138" s="255"/>
      <c r="BE138" s="255"/>
      <c r="BF138" s="255"/>
      <c r="BG138" s="255"/>
      <c r="BH138" s="255"/>
      <c r="BI138" s="255"/>
      <c r="BJ138" s="255"/>
      <c r="BK138" s="255"/>
      <c r="BL138" s="255"/>
      <c r="BM138" s="255"/>
      <c r="BN138" s="255"/>
      <c r="BO138" s="255"/>
      <c r="BP138" s="255"/>
      <c r="BQ138" s="255"/>
      <c r="BR138" s="255"/>
      <c r="BS138" s="255"/>
    </row>
    <row r="139" spans="1:71" x14ac:dyDescent="0.25">
      <c r="A139" s="255"/>
      <c r="B139" s="239" t="s">
        <v>419</v>
      </c>
      <c r="C139" s="315">
        <v>10</v>
      </c>
      <c r="D139" s="315">
        <v>10</v>
      </c>
      <c r="E139" s="315"/>
      <c r="F139" s="315"/>
      <c r="G139" s="315"/>
      <c r="H139" s="315"/>
      <c r="I139" s="315"/>
      <c r="J139" s="255"/>
      <c r="K139" s="255"/>
      <c r="L139" s="255"/>
      <c r="M139" s="255"/>
      <c r="N139" s="255"/>
      <c r="O139" s="255"/>
      <c r="P139" s="255"/>
      <c r="Q139" s="255"/>
      <c r="R139" s="255"/>
      <c r="S139" s="255"/>
      <c r="T139" s="255"/>
      <c r="U139" s="255"/>
      <c r="V139" s="255"/>
      <c r="W139" s="255"/>
      <c r="X139" s="255"/>
      <c r="Y139" s="255"/>
      <c r="Z139" s="255"/>
      <c r="AA139" s="255"/>
      <c r="AB139" s="255"/>
      <c r="AC139" s="255"/>
      <c r="AD139" s="255"/>
      <c r="AE139" s="255"/>
      <c r="AF139" s="255"/>
      <c r="AG139" s="255"/>
      <c r="AH139" s="255"/>
      <c r="AI139" s="255"/>
      <c r="AJ139" s="255"/>
      <c r="AK139" s="255"/>
      <c r="AL139" s="255"/>
      <c r="AM139" s="255"/>
      <c r="AN139" s="255"/>
      <c r="AO139" s="255"/>
      <c r="AP139" s="284">
        <v>10</v>
      </c>
      <c r="AQ139">
        <v>14.02</v>
      </c>
      <c r="AR139" s="255"/>
      <c r="AS139" s="255"/>
      <c r="AT139" s="255"/>
      <c r="AU139" s="255"/>
      <c r="AV139" s="255"/>
      <c r="AW139" s="255"/>
      <c r="AX139" s="255"/>
      <c r="AY139" s="255"/>
      <c r="AZ139" s="255"/>
      <c r="BA139" s="255"/>
      <c r="BB139" s="255"/>
      <c r="BC139" s="255"/>
      <c r="BD139" s="255"/>
      <c r="BE139" s="255"/>
      <c r="BF139" s="255"/>
      <c r="BG139" s="255"/>
      <c r="BH139" s="255"/>
      <c r="BI139" s="255"/>
      <c r="BJ139" s="255"/>
      <c r="BK139" s="255"/>
      <c r="BL139" s="255"/>
      <c r="BM139" s="255"/>
      <c r="BN139" s="255"/>
      <c r="BO139" s="255"/>
      <c r="BP139" s="255"/>
      <c r="BQ139" s="255"/>
      <c r="BR139" s="255"/>
      <c r="BS139" s="255"/>
    </row>
    <row r="140" spans="1:71" x14ac:dyDescent="0.25">
      <c r="A140" s="255"/>
      <c r="B140" s="239" t="s">
        <v>420</v>
      </c>
      <c r="C140" s="335">
        <v>123.6</v>
      </c>
      <c r="D140" s="335">
        <v>123.6</v>
      </c>
      <c r="E140" s="335">
        <v>0</v>
      </c>
      <c r="F140" s="335">
        <v>0</v>
      </c>
      <c r="G140" s="335">
        <v>0</v>
      </c>
      <c r="H140" s="335">
        <v>0</v>
      </c>
      <c r="I140" s="335">
        <v>0</v>
      </c>
      <c r="J140" s="255"/>
      <c r="K140" s="255"/>
      <c r="L140" s="255"/>
      <c r="M140" s="255"/>
      <c r="N140" s="255"/>
      <c r="O140" s="255"/>
      <c r="P140" s="255"/>
      <c r="Q140" s="255"/>
      <c r="R140" s="255"/>
      <c r="S140" s="255"/>
      <c r="T140" s="255"/>
      <c r="U140" s="255"/>
      <c r="V140" s="255"/>
      <c r="W140" s="255"/>
      <c r="X140" s="255"/>
      <c r="Y140" s="255"/>
      <c r="Z140" s="255"/>
      <c r="AA140" s="255"/>
      <c r="AB140" s="255"/>
      <c r="AC140" s="255"/>
      <c r="AD140" s="255"/>
      <c r="AE140" s="255"/>
      <c r="AF140" s="255"/>
      <c r="AG140" s="255"/>
      <c r="AH140" s="255"/>
      <c r="AI140" s="255"/>
      <c r="AJ140" s="255"/>
      <c r="AK140" s="255"/>
      <c r="AL140" s="255"/>
      <c r="AM140" s="255"/>
      <c r="AN140" s="255"/>
      <c r="AO140" s="255"/>
      <c r="AP140" s="284">
        <v>10.1</v>
      </c>
      <c r="AQ140">
        <v>13.99</v>
      </c>
      <c r="AR140" s="255"/>
      <c r="AS140" s="255"/>
      <c r="AT140" s="255"/>
      <c r="AU140" s="255"/>
      <c r="AV140" s="255"/>
      <c r="AW140" s="255"/>
      <c r="AX140" s="255"/>
      <c r="AY140" s="255"/>
      <c r="AZ140" s="255"/>
      <c r="BA140" s="255"/>
      <c r="BB140" s="255"/>
      <c r="BC140" s="255"/>
      <c r="BD140" s="255"/>
      <c r="BE140" s="255"/>
      <c r="BF140" s="255"/>
      <c r="BG140" s="255"/>
      <c r="BH140" s="255"/>
      <c r="BI140" s="255"/>
      <c r="BJ140" s="255"/>
      <c r="BK140" s="255"/>
      <c r="BL140" s="255"/>
      <c r="BM140" s="255"/>
      <c r="BN140" s="255"/>
      <c r="BO140" s="255"/>
      <c r="BP140" s="255"/>
      <c r="BQ140" s="255"/>
      <c r="BR140" s="255"/>
      <c r="BS140" s="255"/>
    </row>
    <row r="141" spans="1:71" x14ac:dyDescent="0.25">
      <c r="A141" s="255"/>
      <c r="B141" s="239" t="s">
        <v>194</v>
      </c>
      <c r="C141" s="272">
        <v>1.5</v>
      </c>
      <c r="D141" s="272">
        <v>1.5</v>
      </c>
      <c r="E141" s="272">
        <v>1.5</v>
      </c>
      <c r="F141" s="272">
        <v>1.5</v>
      </c>
      <c r="G141" s="272">
        <v>1.5</v>
      </c>
      <c r="H141" s="272">
        <v>1.5</v>
      </c>
      <c r="I141" s="272">
        <v>1.5</v>
      </c>
      <c r="J141" s="255"/>
      <c r="K141" s="255"/>
      <c r="L141" s="255"/>
      <c r="M141" s="255"/>
      <c r="N141" s="255"/>
      <c r="O141" s="255"/>
      <c r="P141" s="255"/>
      <c r="Q141" s="255"/>
      <c r="R141" s="255"/>
      <c r="S141" s="255"/>
      <c r="T141" s="255"/>
      <c r="U141" s="255"/>
      <c r="V141" s="255"/>
      <c r="W141" s="255"/>
      <c r="X141" s="255"/>
      <c r="Y141" s="255"/>
      <c r="Z141" s="255"/>
      <c r="AA141" s="255"/>
      <c r="AB141" s="255"/>
      <c r="AC141" s="255"/>
      <c r="AD141" s="255"/>
      <c r="AE141" s="255"/>
      <c r="AF141" s="255"/>
      <c r="AG141" s="255"/>
      <c r="AH141" s="255"/>
      <c r="AI141" s="255"/>
      <c r="AJ141" s="255"/>
      <c r="AK141" s="255"/>
      <c r="AL141" s="255"/>
      <c r="AM141" s="255"/>
      <c r="AN141" s="255"/>
      <c r="AO141" s="255"/>
      <c r="AP141" s="284">
        <v>10.199999999999999</v>
      </c>
      <c r="AQ141">
        <v>13.96</v>
      </c>
      <c r="AR141" s="255"/>
      <c r="AS141" s="255"/>
      <c r="AT141" s="255"/>
      <c r="AU141" s="255"/>
      <c r="AV141" s="255"/>
      <c r="AW141" s="255"/>
      <c r="AX141" s="255"/>
      <c r="AY141" s="255"/>
      <c r="AZ141" s="255"/>
      <c r="BA141" s="255"/>
      <c r="BB141" s="255"/>
      <c r="BC141" s="255"/>
      <c r="BD141" s="255"/>
      <c r="BE141" s="255"/>
      <c r="BF141" s="255"/>
      <c r="BG141" s="255"/>
      <c r="BH141" s="255"/>
      <c r="BI141" s="255"/>
      <c r="BJ141" s="255"/>
      <c r="BK141" s="255"/>
      <c r="BL141" s="255"/>
      <c r="BM141" s="255"/>
      <c r="BN141" s="255"/>
      <c r="BO141" s="255"/>
      <c r="BP141" s="255"/>
      <c r="BQ141" s="255"/>
      <c r="BR141" s="255"/>
      <c r="BS141" s="255"/>
    </row>
    <row r="142" spans="1:71" x14ac:dyDescent="0.25">
      <c r="A142" s="255"/>
      <c r="B142" s="239" t="s">
        <v>209</v>
      </c>
      <c r="C142" s="238">
        <f>TRUNC(C140/C141,2)</f>
        <v>82.4</v>
      </c>
      <c r="D142" s="238">
        <f>TRUNC(D140/D141,2)</f>
        <v>82.4</v>
      </c>
      <c r="E142" s="238">
        <f t="shared" ref="E142:I142" si="24">TRUNC(E140/E141,2)</f>
        <v>0</v>
      </c>
      <c r="F142" s="238">
        <f t="shared" si="24"/>
        <v>0</v>
      </c>
      <c r="G142" s="238">
        <f t="shared" si="24"/>
        <v>0</v>
      </c>
      <c r="H142" s="238">
        <f t="shared" si="24"/>
        <v>0</v>
      </c>
      <c r="I142" s="238">
        <f t="shared" si="24"/>
        <v>0</v>
      </c>
      <c r="J142" s="255"/>
      <c r="K142" s="255"/>
      <c r="L142" s="255"/>
      <c r="M142" s="255"/>
      <c r="N142" s="255"/>
      <c r="O142" s="255"/>
      <c r="P142" s="255"/>
      <c r="Q142" s="255"/>
      <c r="R142" s="255"/>
      <c r="S142" s="255"/>
      <c r="T142" s="255"/>
      <c r="U142" s="255"/>
      <c r="V142" s="255"/>
      <c r="W142" s="255"/>
      <c r="X142" s="255"/>
      <c r="Y142" s="255"/>
      <c r="Z142" s="255"/>
      <c r="AA142" s="255"/>
      <c r="AB142" s="255"/>
      <c r="AC142" s="255"/>
      <c r="AD142" s="255"/>
      <c r="AE142" s="255"/>
      <c r="AF142" s="255"/>
      <c r="AG142" s="255"/>
      <c r="AH142" s="255"/>
      <c r="AI142" s="255"/>
      <c r="AJ142" s="255"/>
      <c r="AK142" s="255"/>
      <c r="AL142" s="255"/>
      <c r="AM142" s="255"/>
      <c r="AN142" s="255"/>
      <c r="AO142" s="255"/>
      <c r="AP142" s="284">
        <v>10.3</v>
      </c>
      <c r="AQ142">
        <v>13.94</v>
      </c>
      <c r="AR142" s="255"/>
      <c r="AS142" s="255"/>
      <c r="AT142" s="255"/>
      <c r="AU142" s="255"/>
      <c r="AV142" s="255"/>
      <c r="AW142" s="255"/>
      <c r="AX142" s="255"/>
      <c r="AY142" s="255"/>
      <c r="AZ142" s="255"/>
      <c r="BA142" s="255"/>
      <c r="BB142" s="255"/>
      <c r="BC142" s="255"/>
      <c r="BD142" s="255"/>
      <c r="BE142" s="255"/>
      <c r="BF142" s="255"/>
      <c r="BG142" s="255"/>
      <c r="BH142" s="255"/>
      <c r="BI142" s="255"/>
      <c r="BJ142" s="255"/>
      <c r="BK142" s="255"/>
      <c r="BL142" s="255"/>
      <c r="BM142" s="255"/>
      <c r="BN142" s="255"/>
      <c r="BO142" s="255"/>
      <c r="BP142" s="255"/>
      <c r="BQ142" s="255"/>
      <c r="BR142" s="255"/>
      <c r="BS142" s="255"/>
    </row>
    <row r="143" spans="1:71" x14ac:dyDescent="0.25">
      <c r="A143" s="255"/>
      <c r="B143" s="237" t="s">
        <v>211</v>
      </c>
      <c r="C143" s="315">
        <v>65</v>
      </c>
      <c r="D143" s="315">
        <v>0</v>
      </c>
      <c r="E143" s="315"/>
      <c r="F143" s="315"/>
      <c r="G143" s="315"/>
      <c r="H143" s="315"/>
      <c r="I143" s="315"/>
      <c r="J143" s="255"/>
      <c r="K143" s="255"/>
      <c r="L143" s="255"/>
      <c r="M143" s="255"/>
      <c r="N143" s="255"/>
      <c r="O143" s="255"/>
      <c r="P143" s="255"/>
      <c r="Q143" s="255"/>
      <c r="R143" s="255"/>
      <c r="S143" s="255"/>
      <c r="T143" s="255"/>
      <c r="U143" s="255"/>
      <c r="V143" s="255"/>
      <c r="W143" s="255"/>
      <c r="X143" s="255"/>
      <c r="Y143" s="255"/>
      <c r="Z143" s="255"/>
      <c r="AA143" s="255"/>
      <c r="AB143" s="255"/>
      <c r="AC143" s="255"/>
      <c r="AD143" s="255"/>
      <c r="AE143" s="255"/>
      <c r="AF143" s="255"/>
      <c r="AG143" s="255"/>
      <c r="AH143" s="255"/>
      <c r="AI143" s="255"/>
      <c r="AJ143" s="255"/>
      <c r="AK143" s="255"/>
      <c r="AL143" s="255"/>
      <c r="AM143" s="255"/>
      <c r="AN143" s="255"/>
      <c r="AO143" s="255"/>
      <c r="AP143" s="284">
        <v>10.4</v>
      </c>
      <c r="AQ143">
        <v>13.91</v>
      </c>
      <c r="AR143" s="255"/>
      <c r="AS143" s="255"/>
      <c r="AT143" s="255"/>
      <c r="AU143" s="255"/>
      <c r="AV143" s="255"/>
      <c r="AW143" s="255"/>
      <c r="AX143" s="255"/>
      <c r="AY143" s="255"/>
      <c r="AZ143" s="255"/>
      <c r="BA143" s="255"/>
      <c r="BB143" s="255"/>
      <c r="BC143" s="255"/>
      <c r="BD143" s="255"/>
      <c r="BE143" s="255"/>
      <c r="BF143" s="255"/>
      <c r="BG143" s="255"/>
      <c r="BH143" s="255"/>
      <c r="BI143" s="255"/>
      <c r="BJ143" s="255"/>
      <c r="BK143" s="255"/>
      <c r="BL143" s="255"/>
      <c r="BM143" s="255"/>
      <c r="BN143" s="255"/>
      <c r="BO143" s="255"/>
      <c r="BP143" s="255"/>
      <c r="BQ143" s="255"/>
      <c r="BR143" s="255"/>
      <c r="BS143" s="255"/>
    </row>
    <row r="144" spans="1:71" x14ac:dyDescent="0.25">
      <c r="A144" s="255"/>
      <c r="B144" s="239" t="s">
        <v>421</v>
      </c>
      <c r="C144" s="238" cm="1">
        <f t="array" ref="C144">IFERROR(
IF(
  OR($E$121&lt;MIN($S$123:$S$125),$E$121&gt;MAX($S$123:$S$125),C143&lt;MIN($T$122:$AF$122),C143&gt;MAX($T$122:$AF$122)),
  0,
  (
    INDEX($T$123:$AF$125,MATCH($E$121,$S$123:$S$125,-1),MATCH(C143,$T$122:$AF$122,1))*
      ($E$121-INDEX($S$123:$S$125,MATCH($E$121,$S$123:$S$125,-1)+1))*
      (INDEX($T$122:$AF$122,1,MATCH(C143,$T$122:$AF$122,1)+1)-C143)
  +
    INDEX($T$123:$AF$125,MATCH($E$121,$S$123:$S$125,-1)+1,MATCH(C143,$T$122:$AF$122,1))*
      (INDEX($S$123:$S$125,MATCH($E$121,$S$123:$S$125,-1))-$E$121)*
      (INDEX($T$122:$AF$122,1,MATCH(C143,$T$122:$AF$122,1)+1)-C143)
  +
    INDEX($T$123:$AF$125,MATCH($E$121,$S$123:$S$125,-1),MATCH(C143,$T$122:$AF$122,1)+1)*
      ($E$121-INDEX($S$123:$S$125,MATCH($E$121,$S$123:$S$125,-1)+1))*
      (C143-INDEX($T$122:$AF$122,1,MATCH(C143,$T$122:$AF$122,1)))
  +
    INDEX($T$123:$AF$125,MATCH($E$121,$S$123:$S$125,-1)+1,MATCH(C143,$T$122:$AF$122,1)+1)*
      (INDEX($S$123:$S$125,MATCH($E$121,$S$123:$S$125,-1))-$E$121)*
      (C143-INDEX($T$122:$AF$122,1,MATCH(C143,$T$122:$AF$122,1)))
  )
  /
  (
    (INDEX($S$123:$S$125,MATCH($E$121,$S$123:$S$125,-1))-INDEX($S$123:$S$125,MATCH($E$121,$S$123:$S$125,-1)+1))*
    (INDEX($T$122:$AF$122,1,MATCH(C143,$T$122:$AF$122,1)+1)-INDEX($T$122:$AF$122,1,MATCH(C143,$T$122:$AF$122,1)))
  )
),
0)</f>
        <v>0.69000000000000006</v>
      </c>
      <c r="D144" s="238" cm="1">
        <f t="array" ref="D144">IFERROR(
IF(
  OR($E$121&lt;MIN($S$123:$S$125),$E$121&gt;MAX($S$123:$S$125),D143&lt;MIN($T$122:$AF$122),D143&gt;MAX($T$122:$AF$122)),
  0,
  (
    INDEX($T$123:$AF$125,MATCH($E$121,$S$123:$S$125,-1),MATCH(D143,$T$122:$AF$122,1))*
      ($E$121-INDEX($S$123:$S$125,MATCH($E$121,$S$123:$S$125,-1)+1))*
      (INDEX($T$122:$AF$122,1,MATCH(D143,$T$122:$AF$122,1)+1)-D143)
  +
    INDEX($T$123:$AF$125,MATCH($E$121,$S$123:$S$125,-1)+1,MATCH(D143,$T$122:$AF$122,1))*
      (INDEX($S$123:$S$125,MATCH($E$121,$S$123:$S$125,-1))-$E$121)*
      (INDEX($T$122:$AF$122,1,MATCH(D143,$T$122:$AF$122,1)+1)-D143)
  +
    INDEX($T$123:$AF$125,MATCH($E$121,$S$123:$S$125,-1),MATCH(D143,$T$122:$AF$122,1)+1)*
      ($E$121-INDEX($S$123:$S$125,MATCH($E$121,$S$123:$S$125,-1)+1))*
      (D143-INDEX($T$122:$AF$122,1,MATCH(D143,$T$122:$AF$122,1)))
  +
    INDEX($T$123:$AF$125,MATCH($E$121,$S$123:$S$125,-1)+1,MATCH(D143,$T$122:$AF$122,1)+1)*
      (INDEX($S$123:$S$125,MATCH($E$121,$S$123:$S$125,-1))-$E$121)*
      (D143-INDEX($T$122:$AF$122,1,MATCH(D143,$T$122:$AF$122,1)))
  )
  /
  (
    (INDEX($S$123:$S$125,MATCH($E$121,$S$123:$S$125,-1))-INDEX($S$123:$S$125,MATCH($E$121,$S$123:$S$125,-1)+1))*
    (INDEX($T$122:$AF$122,1,MATCH(D143,$T$122:$AF$122,1)+1)-INDEX($T$122:$AF$122,1,MATCH(D143,$T$122:$AF$122,1)))
  )
),
0)</f>
        <v>1</v>
      </c>
      <c r="E144" s="238" cm="1">
        <f t="array" ref="E144">IFERROR(
IF(
  OR($E$121&lt;MIN($S$123:$S$125),$E$121&gt;MAX($S$123:$S$125),E143&lt;MIN($T$122:$AF$122),E143&gt;MAX($T$122:$AF$122)),
  0,
  (
    INDEX($T$123:$AF$125,MATCH($E$121,$S$123:$S$125,-1),MATCH(E143,$T$122:$AF$122,1))*
      ($E$121-INDEX($S$123:$S$125,MATCH($E$121,$S$123:$S$125,-1)+1))*
      (INDEX($T$122:$AF$122,1,MATCH(E143,$T$122:$AF$122,1)+1)-E143)
  +
    INDEX($T$123:$AF$125,MATCH($E$121,$S$123:$S$125,-1)+1,MATCH(E143,$T$122:$AF$122,1))*
      (INDEX($S$123:$S$125,MATCH($E$121,$S$123:$S$125,-1))-$E$121)*
      (INDEX($T$122:$AF$122,1,MATCH(E143,$T$122:$AF$122,1)+1)-E143)
  +
    INDEX($T$123:$AF$125,MATCH($E$121,$S$123:$S$125,-1),MATCH(E143,$T$122:$AF$122,1)+1)*
      ($E$121-INDEX($S$123:$S$125,MATCH($E$121,$S$123:$S$125,-1)+1))*
      (E143-INDEX($T$122:$AF$122,1,MATCH(E143,$T$122:$AF$122,1)))
  +
    INDEX($T$123:$AF$125,MATCH($E$121,$S$123:$S$125,-1)+1,MATCH(E143,$T$122:$AF$122,1)+1)*
      (INDEX($S$123:$S$125,MATCH($E$121,$S$123:$S$125,-1))-$E$121)*
      (E143-INDEX($T$122:$AF$122,1,MATCH(E143,$T$122:$AF$122,1)))
  )
  /
  (
    (INDEX($S$123:$S$125,MATCH($E$121,$S$123:$S$125,-1))-INDEX($S$123:$S$125,MATCH($E$121,$S$123:$S$125,-1)+1))*
    (INDEX($T$122:$AF$122,1,MATCH(E143,$T$122:$AF$122,1)+1)-INDEX($T$122:$AF$122,1,MATCH(E143,$T$122:$AF$122,1)))
  )
),
0)</f>
        <v>1</v>
      </c>
      <c r="F144" s="238" cm="1">
        <f t="array" ref="F144">IFERROR(
IF(
  OR($E$121&lt;MIN($S$123:$S$125),$E$121&gt;MAX($S$123:$S$125),F143&lt;MIN($T$122:$AF$122),F143&gt;MAX($T$122:$AF$122)),
  0,
  (
    INDEX($T$123:$AF$125,MATCH($E$121,$S$123:$S$125,-1),MATCH(F143,$T$122:$AF$122,1))*
      ($E$121-INDEX($S$123:$S$125,MATCH($E$121,$S$123:$S$125,-1)+1))*
      (INDEX($T$122:$AF$122,1,MATCH(F143,$T$122:$AF$122,1)+1)-F143)
  +
    INDEX($T$123:$AF$125,MATCH($E$121,$S$123:$S$125,-1)+1,MATCH(F143,$T$122:$AF$122,1))*
      (INDEX($S$123:$S$125,MATCH($E$121,$S$123:$S$125,-1))-$E$121)*
      (INDEX($T$122:$AF$122,1,MATCH(F143,$T$122:$AF$122,1)+1)-F143)
  +
    INDEX($T$123:$AF$125,MATCH($E$121,$S$123:$S$125,-1),MATCH(F143,$T$122:$AF$122,1)+1)*
      ($E$121-INDEX($S$123:$S$125,MATCH($E$121,$S$123:$S$125,-1)+1))*
      (F143-INDEX($T$122:$AF$122,1,MATCH(F143,$T$122:$AF$122,1)))
  +
    INDEX($T$123:$AF$125,MATCH($E$121,$S$123:$S$125,-1)+1,MATCH(F143,$T$122:$AF$122,1)+1)*
      (INDEX($S$123:$S$125,MATCH($E$121,$S$123:$S$125,-1))-$E$121)*
      (F143-INDEX($T$122:$AF$122,1,MATCH(F143,$T$122:$AF$122,1)))
  )
  /
  (
    (INDEX($S$123:$S$125,MATCH($E$121,$S$123:$S$125,-1))-INDEX($S$123:$S$125,MATCH($E$121,$S$123:$S$125,-1)+1))*
    (INDEX($T$122:$AF$122,1,MATCH(F143,$T$122:$AF$122,1)+1)-INDEX($T$122:$AF$122,1,MATCH(F143,$T$122:$AF$122,1)))
  )
),
0)</f>
        <v>1</v>
      </c>
      <c r="G144" s="238" cm="1">
        <f t="array" ref="G144">IFERROR(
IF(
  OR($E$121&lt;MIN($S$123:$S$125),$E$121&gt;MAX($S$123:$S$125),G143&lt;MIN($T$122:$AF$122),G143&gt;MAX($T$122:$AF$122)),
  0,
  (
    INDEX($T$123:$AF$125,MATCH($E$121,$S$123:$S$125,-1),MATCH(G143,$T$122:$AF$122,1))*
      ($E$121-INDEX($S$123:$S$125,MATCH($E$121,$S$123:$S$125,-1)+1))*
      (INDEX($T$122:$AF$122,1,MATCH(G143,$T$122:$AF$122,1)+1)-G143)
  +
    INDEX($T$123:$AF$125,MATCH($E$121,$S$123:$S$125,-1)+1,MATCH(G143,$T$122:$AF$122,1))*
      (INDEX($S$123:$S$125,MATCH($E$121,$S$123:$S$125,-1))-$E$121)*
      (INDEX($T$122:$AF$122,1,MATCH(G143,$T$122:$AF$122,1)+1)-G143)
  +
    INDEX($T$123:$AF$125,MATCH($E$121,$S$123:$S$125,-1),MATCH(G143,$T$122:$AF$122,1)+1)*
      ($E$121-INDEX($S$123:$S$125,MATCH($E$121,$S$123:$S$125,-1)+1))*
      (G143-INDEX($T$122:$AF$122,1,MATCH(G143,$T$122:$AF$122,1)))
  +
    INDEX($T$123:$AF$125,MATCH($E$121,$S$123:$S$125,-1)+1,MATCH(G143,$T$122:$AF$122,1)+1)*
      (INDEX($S$123:$S$125,MATCH($E$121,$S$123:$S$125,-1))-$E$121)*
      (G143-INDEX($T$122:$AF$122,1,MATCH(G143,$T$122:$AF$122,1)))
  )
  /
  (
    (INDEX($S$123:$S$125,MATCH($E$121,$S$123:$S$125,-1))-INDEX($S$123:$S$125,MATCH($E$121,$S$123:$S$125,-1)+1))*
    (INDEX($T$122:$AF$122,1,MATCH(G143,$T$122:$AF$122,1)+1)-INDEX($T$122:$AF$122,1,MATCH(G143,$T$122:$AF$122,1)))
  )
),
0)</f>
        <v>1</v>
      </c>
      <c r="H144" s="238" cm="1">
        <f t="array" ref="H144">IFERROR(
IF(
  OR($E$121&lt;MIN($S$123:$S$125),$E$121&gt;MAX($S$123:$S$125),H143&lt;MIN($T$122:$AF$122),H143&gt;MAX($T$122:$AF$122)),
  0,
  (
    INDEX($T$123:$AF$125,MATCH($E$121,$S$123:$S$125,-1),MATCH(H143,$T$122:$AF$122,1))*
      ($E$121-INDEX($S$123:$S$125,MATCH($E$121,$S$123:$S$125,-1)+1))*
      (INDEX($T$122:$AF$122,1,MATCH(H143,$T$122:$AF$122,1)+1)-H143)
  +
    INDEX($T$123:$AF$125,MATCH($E$121,$S$123:$S$125,-1)+1,MATCH(H143,$T$122:$AF$122,1))*
      (INDEX($S$123:$S$125,MATCH($E$121,$S$123:$S$125,-1))-$E$121)*
      (INDEX($T$122:$AF$122,1,MATCH(H143,$T$122:$AF$122,1)+1)-H143)
  +
    INDEX($T$123:$AF$125,MATCH($E$121,$S$123:$S$125,-1),MATCH(H143,$T$122:$AF$122,1)+1)*
      ($E$121-INDEX($S$123:$S$125,MATCH($E$121,$S$123:$S$125,-1)+1))*
      (H143-INDEX($T$122:$AF$122,1,MATCH(H143,$T$122:$AF$122,1)))
  +
    INDEX($T$123:$AF$125,MATCH($E$121,$S$123:$S$125,-1)+1,MATCH(H143,$T$122:$AF$122,1)+1)*
      (INDEX($S$123:$S$125,MATCH($E$121,$S$123:$S$125,-1))-$E$121)*
      (H143-INDEX($T$122:$AF$122,1,MATCH(H143,$T$122:$AF$122,1)))
  )
  /
  (
    (INDEX($S$123:$S$125,MATCH($E$121,$S$123:$S$125,-1))-INDEX($S$123:$S$125,MATCH($E$121,$S$123:$S$125,-1)+1))*
    (INDEX($T$122:$AF$122,1,MATCH(H143,$T$122:$AF$122,1)+1)-INDEX($T$122:$AF$122,1,MATCH(H143,$T$122:$AF$122,1)))
  )
),
0)</f>
        <v>1</v>
      </c>
      <c r="I144" s="238" cm="1">
        <f t="array" ref="I144">IFERROR(
IF(
  OR($E$121&lt;MIN($S$123:$S$125),$E$121&gt;MAX($S$123:$S$125),I143&lt;MIN($T$122:$AF$122),I143&gt;MAX($T$122:$AF$122)),
  0,
  (
    INDEX($T$123:$AF$125,MATCH($E$121,$S$123:$S$125,-1),MATCH(I143,$T$122:$AF$122,1))*
      ($E$121-INDEX($S$123:$S$125,MATCH($E$121,$S$123:$S$125,-1)+1))*
      (INDEX($T$122:$AF$122,1,MATCH(I143,$T$122:$AF$122,1)+1)-I143)
  +
    INDEX($T$123:$AF$125,MATCH($E$121,$S$123:$S$125,-1)+1,MATCH(I143,$T$122:$AF$122,1))*
      (INDEX($S$123:$S$125,MATCH($E$121,$S$123:$S$125,-1))-$E$121)*
      (INDEX($T$122:$AF$122,1,MATCH(I143,$T$122:$AF$122,1)+1)-I143)
  +
    INDEX($T$123:$AF$125,MATCH($E$121,$S$123:$S$125,-1),MATCH(I143,$T$122:$AF$122,1)+1)*
      ($E$121-INDEX($S$123:$S$125,MATCH($E$121,$S$123:$S$125,-1)+1))*
      (I143-INDEX($T$122:$AF$122,1,MATCH(I143,$T$122:$AF$122,1)))
  +
    INDEX($T$123:$AF$125,MATCH($E$121,$S$123:$S$125,-1)+1,MATCH(I143,$T$122:$AF$122,1)+1)*
      (INDEX($S$123:$S$125,MATCH($E$121,$S$123:$S$125,-1))-$E$121)*
      (I143-INDEX($T$122:$AF$122,1,MATCH(I143,$T$122:$AF$122,1)))
  )
  /
  (
    (INDEX($S$123:$S$125,MATCH($E$121,$S$123:$S$125,-1))-INDEX($S$123:$S$125,MATCH($E$121,$S$123:$S$125,-1)+1))*
    (INDEX($T$122:$AF$122,1,MATCH(I143,$T$122:$AF$122,1)+1)-INDEX($T$122:$AF$122,1,MATCH(I143,$T$122:$AF$122,1)))
  )
),
0)</f>
        <v>1</v>
      </c>
      <c r="J144" s="240"/>
      <c r="K144" s="239" t="s">
        <v>418</v>
      </c>
      <c r="L144" s="255"/>
      <c r="M144" s="255"/>
      <c r="N144" s="255"/>
      <c r="O144" s="255"/>
      <c r="P144" s="255"/>
      <c r="Q144" s="255"/>
      <c r="R144" s="255"/>
      <c r="S144" s="255"/>
      <c r="T144" s="255"/>
      <c r="U144" s="255"/>
      <c r="V144" s="255"/>
      <c r="W144" s="255"/>
      <c r="X144" s="255"/>
      <c r="Y144" s="255"/>
      <c r="Z144" s="255"/>
      <c r="AA144" s="255"/>
      <c r="AB144" s="255"/>
      <c r="AC144" s="255"/>
      <c r="AD144" s="255"/>
      <c r="AE144" s="255"/>
      <c r="AF144" s="255"/>
      <c r="AG144" s="255"/>
      <c r="AH144" s="255"/>
      <c r="AI144" s="255"/>
      <c r="AJ144" s="255"/>
      <c r="AK144" s="255"/>
      <c r="AL144" s="255"/>
      <c r="AM144" s="255"/>
      <c r="AN144" s="255"/>
      <c r="AO144" s="255"/>
      <c r="AP144" s="284">
        <v>10.5</v>
      </c>
      <c r="AQ144">
        <v>13.89</v>
      </c>
      <c r="AR144" s="255"/>
      <c r="AS144" s="255"/>
      <c r="AT144" s="255"/>
      <c r="AU144" s="255"/>
      <c r="AV144" s="255"/>
      <c r="AW144" s="255"/>
      <c r="AX144" s="255"/>
      <c r="AY144" s="255"/>
      <c r="AZ144" s="255"/>
      <c r="BA144" s="255"/>
      <c r="BB144" s="255"/>
      <c r="BC144" s="255"/>
      <c r="BD144" s="255"/>
      <c r="BE144" s="255"/>
      <c r="BF144" s="255"/>
      <c r="BG144" s="255"/>
      <c r="BH144" s="255"/>
      <c r="BI144" s="255"/>
      <c r="BJ144" s="255"/>
      <c r="BK144" s="255"/>
      <c r="BL144" s="255"/>
      <c r="BM144" s="255"/>
      <c r="BN144" s="255"/>
      <c r="BO144" s="255"/>
      <c r="BP144" s="255"/>
      <c r="BQ144" s="255"/>
      <c r="BR144" s="255"/>
      <c r="BS144" s="255"/>
    </row>
    <row r="145" spans="1:71" x14ac:dyDescent="0.25">
      <c r="A145" s="255"/>
      <c r="B145" s="239" t="s">
        <v>422</v>
      </c>
      <c r="C145" s="238">
        <f>TRUNC(C142*C144*C139,2)</f>
        <v>568.55999999999995</v>
      </c>
      <c r="D145" s="238">
        <f t="shared" ref="D145:I145" si="25">TRUNC(D142*D144*D139,2)</f>
        <v>824</v>
      </c>
      <c r="E145" s="238">
        <f t="shared" si="25"/>
        <v>0</v>
      </c>
      <c r="F145" s="238">
        <f t="shared" si="25"/>
        <v>0</v>
      </c>
      <c r="G145" s="238">
        <f t="shared" si="25"/>
        <v>0</v>
      </c>
      <c r="H145" s="238">
        <f t="shared" si="25"/>
        <v>0</v>
      </c>
      <c r="I145" s="238">
        <f t="shared" si="25"/>
        <v>0</v>
      </c>
      <c r="K145" s="238">
        <f>C145+D145+E145+F145+G145+H145+I145</f>
        <v>1392.56</v>
      </c>
      <c r="L145" s="255"/>
      <c r="M145" s="255"/>
      <c r="N145" s="255"/>
      <c r="O145" s="255"/>
      <c r="P145" s="255"/>
      <c r="Q145" s="255"/>
      <c r="R145" s="255"/>
      <c r="S145" s="255"/>
      <c r="T145" s="255"/>
      <c r="U145" s="255"/>
      <c r="V145" s="255"/>
      <c r="W145" s="255"/>
      <c r="X145" s="255"/>
      <c r="Y145" s="255"/>
      <c r="Z145" s="255"/>
      <c r="AA145" s="255"/>
      <c r="AB145" s="255"/>
      <c r="AC145" s="255"/>
      <c r="AD145" s="255"/>
      <c r="AE145" s="255"/>
      <c r="AF145" s="255"/>
      <c r="AG145" s="255"/>
      <c r="AH145" s="255"/>
      <c r="AI145" s="255"/>
      <c r="AJ145" s="255"/>
      <c r="AK145" s="255"/>
      <c r="AL145" s="255"/>
      <c r="AM145" s="255"/>
      <c r="AN145" s="255"/>
      <c r="AO145" s="255"/>
      <c r="AP145" s="284">
        <v>10.6</v>
      </c>
      <c r="AQ145">
        <v>13.87</v>
      </c>
      <c r="AR145" s="255"/>
      <c r="AS145" s="255"/>
      <c r="AT145" s="255"/>
      <c r="AU145" s="255"/>
      <c r="AV145" s="255"/>
      <c r="AW145" s="255"/>
      <c r="AX145" s="255"/>
      <c r="AY145" s="255"/>
      <c r="AZ145" s="255"/>
      <c r="BA145" s="255"/>
      <c r="BB145" s="255"/>
      <c r="BC145" s="255"/>
      <c r="BD145" s="255"/>
      <c r="BE145" s="255"/>
      <c r="BF145" s="255"/>
      <c r="BG145" s="255"/>
      <c r="BH145" s="255"/>
      <c r="BI145" s="255"/>
      <c r="BJ145" s="255"/>
      <c r="BK145" s="255"/>
      <c r="BL145" s="255"/>
      <c r="BM145" s="255"/>
      <c r="BN145" s="255"/>
      <c r="BO145" s="255"/>
      <c r="BP145" s="255"/>
      <c r="BQ145" s="255"/>
      <c r="BR145" s="255"/>
      <c r="BS145" s="255"/>
    </row>
    <row r="146" spans="1:71" x14ac:dyDescent="0.25">
      <c r="A146" s="255"/>
      <c r="B146" s="255"/>
      <c r="C146" s="255"/>
      <c r="D146" s="255"/>
      <c r="E146" s="255"/>
      <c r="F146" s="255"/>
      <c r="G146" s="255"/>
      <c r="H146" s="255"/>
      <c r="I146" s="255"/>
      <c r="J146" s="255"/>
      <c r="K146" s="255"/>
      <c r="L146" s="255"/>
      <c r="M146" s="255"/>
      <c r="N146" s="255"/>
      <c r="O146" s="255"/>
      <c r="P146" s="255"/>
      <c r="Q146" s="255"/>
      <c r="R146" s="255"/>
      <c r="S146" s="255"/>
      <c r="T146" s="255"/>
      <c r="U146" s="255"/>
      <c r="V146" s="255"/>
      <c r="W146" s="255"/>
      <c r="X146" s="255"/>
      <c r="Y146" s="255"/>
      <c r="Z146" s="255"/>
      <c r="AA146" s="255"/>
      <c r="AB146" s="255"/>
      <c r="AC146" s="255"/>
      <c r="AD146" s="255"/>
      <c r="AE146" s="255"/>
      <c r="AF146" s="255"/>
      <c r="AG146" s="255"/>
      <c r="AH146" s="255"/>
      <c r="AI146" s="255"/>
      <c r="AJ146" s="255"/>
      <c r="AK146" s="255"/>
      <c r="AL146" s="255"/>
      <c r="AM146" s="255"/>
      <c r="AN146" s="255"/>
      <c r="AO146" s="255"/>
      <c r="AP146" s="284">
        <v>10.7</v>
      </c>
      <c r="AQ146">
        <v>13.85</v>
      </c>
      <c r="AR146" s="255"/>
      <c r="AS146" s="255"/>
      <c r="AT146" s="255"/>
      <c r="AU146" s="255"/>
      <c r="AV146" s="255"/>
      <c r="AW146" s="255"/>
      <c r="AX146" s="255"/>
      <c r="AY146" s="255"/>
      <c r="AZ146" s="255"/>
      <c r="BA146" s="255"/>
      <c r="BB146" s="255"/>
      <c r="BC146" s="255"/>
      <c r="BD146" s="255"/>
      <c r="BE146" s="255"/>
      <c r="BF146" s="255"/>
      <c r="BG146" s="255"/>
      <c r="BH146" s="255"/>
      <c r="BI146" s="255"/>
      <c r="BJ146" s="255"/>
      <c r="BK146" s="255"/>
      <c r="BL146" s="255"/>
      <c r="BM146" s="255"/>
      <c r="BN146" s="255"/>
      <c r="BO146" s="255"/>
      <c r="BP146" s="255"/>
      <c r="BQ146" s="255"/>
      <c r="BR146" s="255"/>
      <c r="BS146" s="255"/>
    </row>
    <row r="147" spans="1:71" x14ac:dyDescent="0.25">
      <c r="A147" s="255"/>
      <c r="B147" s="239" t="s">
        <v>424</v>
      </c>
      <c r="C147" s="240">
        <v>1</v>
      </c>
      <c r="D147" s="240">
        <v>2</v>
      </c>
      <c r="E147" s="240">
        <v>3</v>
      </c>
      <c r="F147" s="240">
        <v>4</v>
      </c>
      <c r="G147" s="240">
        <v>5</v>
      </c>
      <c r="H147" s="240">
        <v>6</v>
      </c>
      <c r="I147" s="240">
        <v>7</v>
      </c>
      <c r="J147" s="255"/>
      <c r="K147" s="255"/>
      <c r="L147" s="255"/>
      <c r="M147" s="255"/>
      <c r="N147" s="255"/>
      <c r="O147" s="255"/>
      <c r="P147" s="255"/>
      <c r="Q147" s="255"/>
      <c r="R147" s="255"/>
      <c r="S147" s="255"/>
      <c r="T147" s="255"/>
      <c r="U147" s="255"/>
      <c r="V147" s="255"/>
      <c r="W147" s="255"/>
      <c r="X147" s="255"/>
      <c r="Y147" s="255"/>
      <c r="Z147" s="255"/>
      <c r="AA147" s="255"/>
      <c r="AB147" s="255"/>
      <c r="AC147" s="255"/>
      <c r="AD147" s="255"/>
      <c r="AE147" s="255"/>
      <c r="AF147" s="255"/>
      <c r="AG147" s="255"/>
      <c r="AH147" s="255"/>
      <c r="AI147" s="255"/>
      <c r="AJ147" s="255"/>
      <c r="AK147" s="255"/>
      <c r="AL147" s="255"/>
      <c r="AM147" s="255"/>
      <c r="AN147" s="255"/>
      <c r="AO147" s="255"/>
      <c r="AP147" s="284">
        <v>10.8</v>
      </c>
      <c r="AQ147">
        <v>13.83</v>
      </c>
      <c r="AR147" s="255"/>
      <c r="AS147" s="255"/>
      <c r="AT147" s="255"/>
      <c r="AU147" s="255"/>
      <c r="AV147" s="255"/>
      <c r="AW147" s="255"/>
      <c r="AX147" s="255"/>
      <c r="AY147" s="255"/>
      <c r="AZ147" s="255"/>
      <c r="BA147" s="255"/>
      <c r="BB147" s="255"/>
      <c r="BC147" s="255"/>
      <c r="BD147" s="255"/>
      <c r="BE147" s="255"/>
      <c r="BF147" s="255"/>
      <c r="BG147" s="255"/>
      <c r="BH147" s="255"/>
      <c r="BI147" s="255"/>
      <c r="BJ147" s="255"/>
      <c r="BK147" s="255"/>
      <c r="BL147" s="255"/>
      <c r="BM147" s="255"/>
      <c r="BN147" s="255"/>
      <c r="BO147" s="255"/>
      <c r="BP147" s="255"/>
      <c r="BQ147" s="255"/>
      <c r="BR147" s="255"/>
      <c r="BS147" s="255"/>
    </row>
    <row r="148" spans="1:71" x14ac:dyDescent="0.25">
      <c r="A148" s="255"/>
      <c r="B148" s="239" t="s">
        <v>419</v>
      </c>
      <c r="C148" s="315">
        <v>10</v>
      </c>
      <c r="D148" s="315">
        <v>10</v>
      </c>
      <c r="E148" s="315"/>
      <c r="F148" s="315"/>
      <c r="G148" s="315"/>
      <c r="H148" s="315"/>
      <c r="I148" s="315"/>
      <c r="J148" s="255"/>
      <c r="K148" s="255"/>
      <c r="L148" s="255"/>
      <c r="M148" s="255"/>
      <c r="N148" s="255"/>
      <c r="O148" s="255"/>
      <c r="P148" s="255"/>
      <c r="Q148" s="255"/>
      <c r="R148" s="255"/>
      <c r="S148" s="255"/>
      <c r="T148" s="255"/>
      <c r="U148" s="255"/>
      <c r="V148" s="255"/>
      <c r="W148" s="255"/>
      <c r="X148" s="255"/>
      <c r="Y148" s="255"/>
      <c r="Z148" s="255"/>
      <c r="AA148" s="255"/>
      <c r="AB148" s="255"/>
      <c r="AC148" s="255"/>
      <c r="AD148" s="255"/>
      <c r="AE148" s="255"/>
      <c r="AF148" s="255"/>
      <c r="AG148" s="255"/>
      <c r="AH148" s="255"/>
      <c r="AI148" s="255"/>
      <c r="AJ148" s="255"/>
      <c r="AK148" s="255"/>
      <c r="AL148" s="255"/>
      <c r="AM148" s="255"/>
      <c r="AN148" s="255"/>
      <c r="AO148" s="255"/>
      <c r="AP148" s="284">
        <v>10.9</v>
      </c>
      <c r="AQ148">
        <v>13.81</v>
      </c>
      <c r="AR148" s="255"/>
      <c r="AS148" s="255"/>
      <c r="AT148" s="255"/>
      <c r="AU148" s="255"/>
      <c r="AV148" s="255"/>
      <c r="AW148" s="255"/>
      <c r="AX148" s="255"/>
      <c r="AY148" s="255"/>
      <c r="AZ148" s="255"/>
      <c r="BA148" s="255"/>
      <c r="BB148" s="255"/>
      <c r="BC148" s="255"/>
      <c r="BD148" s="255"/>
      <c r="BE148" s="255"/>
      <c r="BF148" s="255"/>
      <c r="BG148" s="255"/>
      <c r="BH148" s="255"/>
      <c r="BI148" s="255"/>
      <c r="BJ148" s="255"/>
      <c r="BK148" s="255"/>
      <c r="BL148" s="255"/>
      <c r="BM148" s="255"/>
      <c r="BN148" s="255"/>
      <c r="BO148" s="255"/>
      <c r="BP148" s="255"/>
      <c r="BQ148" s="255"/>
      <c r="BR148" s="255"/>
      <c r="BS148" s="255"/>
    </row>
    <row r="149" spans="1:71" x14ac:dyDescent="0.25">
      <c r="A149" s="255"/>
      <c r="B149" s="239" t="s">
        <v>420</v>
      </c>
      <c r="C149" s="335">
        <v>123.6</v>
      </c>
      <c r="D149" s="335">
        <v>123.6</v>
      </c>
      <c r="E149" s="335">
        <v>0</v>
      </c>
      <c r="F149" s="335">
        <v>0</v>
      </c>
      <c r="G149" s="335">
        <v>0</v>
      </c>
      <c r="H149" s="335">
        <v>0</v>
      </c>
      <c r="I149" s="335">
        <v>0</v>
      </c>
      <c r="J149" s="255"/>
      <c r="K149" s="255"/>
      <c r="L149" s="255"/>
      <c r="M149" s="255"/>
      <c r="N149" s="255"/>
      <c r="O149" s="255"/>
      <c r="P149" s="255"/>
      <c r="Q149" s="255"/>
      <c r="R149" s="255"/>
      <c r="S149" s="255"/>
      <c r="T149" s="255"/>
      <c r="U149" s="255"/>
      <c r="V149" s="255"/>
      <c r="W149" s="255"/>
      <c r="X149" s="255"/>
      <c r="Y149" s="255"/>
      <c r="Z149" s="255"/>
      <c r="AA149" s="255"/>
      <c r="AB149" s="255"/>
      <c r="AC149" s="255"/>
      <c r="AD149" s="255"/>
      <c r="AE149" s="255"/>
      <c r="AF149" s="255"/>
      <c r="AG149" s="255"/>
      <c r="AH149" s="255"/>
      <c r="AI149" s="255"/>
      <c r="AJ149" s="255"/>
      <c r="AK149" s="255"/>
      <c r="AL149" s="255"/>
      <c r="AM149" s="255"/>
      <c r="AN149" s="255"/>
      <c r="AO149" s="255"/>
      <c r="AP149" s="284">
        <v>11</v>
      </c>
      <c r="AQ149">
        <v>13.79</v>
      </c>
      <c r="AR149" s="255"/>
      <c r="AS149" s="255"/>
      <c r="AT149" s="255"/>
      <c r="AU149" s="255"/>
      <c r="AV149" s="255"/>
      <c r="AW149" s="255"/>
      <c r="AX149" s="255"/>
      <c r="AY149" s="255"/>
      <c r="AZ149" s="255"/>
      <c r="BA149" s="255"/>
      <c r="BB149" s="255"/>
      <c r="BC149" s="255"/>
      <c r="BD149" s="255"/>
      <c r="BE149" s="255"/>
      <c r="BF149" s="255"/>
      <c r="BG149" s="255"/>
      <c r="BH149" s="255"/>
      <c r="BI149" s="255"/>
      <c r="BJ149" s="255"/>
      <c r="BK149" s="255"/>
      <c r="BL149" s="255"/>
      <c r="BM149" s="255"/>
      <c r="BN149" s="255"/>
      <c r="BO149" s="255"/>
      <c r="BP149" s="255"/>
      <c r="BQ149" s="255"/>
      <c r="BR149" s="255"/>
      <c r="BS149" s="255"/>
    </row>
    <row r="150" spans="1:71" x14ac:dyDescent="0.25">
      <c r="A150" s="255"/>
      <c r="B150" s="239" t="s">
        <v>194</v>
      </c>
      <c r="C150" s="272">
        <v>1.5</v>
      </c>
      <c r="D150" s="272">
        <v>1.5</v>
      </c>
      <c r="E150" s="272">
        <v>1.5</v>
      </c>
      <c r="F150" s="272">
        <v>1.5</v>
      </c>
      <c r="G150" s="272">
        <v>1.5</v>
      </c>
      <c r="H150" s="272">
        <v>1.5</v>
      </c>
      <c r="I150" s="272">
        <v>1.5</v>
      </c>
      <c r="J150" s="255"/>
      <c r="K150" s="255"/>
      <c r="L150" s="255"/>
      <c r="M150" s="255"/>
      <c r="N150" s="255"/>
      <c r="O150" s="255"/>
      <c r="P150" s="255"/>
      <c r="Q150" s="255"/>
      <c r="R150" s="255"/>
      <c r="S150" s="255"/>
      <c r="T150" s="255"/>
      <c r="U150" s="255"/>
      <c r="V150" s="255"/>
      <c r="W150" s="255"/>
      <c r="X150" s="255"/>
      <c r="Y150" s="255"/>
      <c r="Z150" s="255"/>
      <c r="AA150" s="255"/>
      <c r="AB150" s="255"/>
      <c r="AC150" s="255"/>
      <c r="AD150" s="255"/>
      <c r="AE150" s="255"/>
      <c r="AF150" s="255"/>
      <c r="AG150" s="255"/>
      <c r="AH150" s="255"/>
      <c r="AI150" s="255"/>
      <c r="AJ150" s="255"/>
      <c r="AK150" s="255"/>
      <c r="AL150" s="255"/>
      <c r="AM150" s="255"/>
      <c r="AN150" s="255"/>
      <c r="AO150" s="255"/>
      <c r="AP150" s="284">
        <v>11.1</v>
      </c>
      <c r="AQ150">
        <v>13.77</v>
      </c>
      <c r="AR150" s="255"/>
      <c r="AS150" s="255"/>
      <c r="AT150" s="255"/>
      <c r="AU150" s="255"/>
      <c r="AV150" s="255"/>
      <c r="AW150" s="255"/>
      <c r="AX150" s="255"/>
      <c r="AY150" s="255"/>
      <c r="AZ150" s="255"/>
      <c r="BA150" s="255"/>
      <c r="BB150" s="255"/>
      <c r="BC150" s="255"/>
      <c r="BD150" s="255"/>
      <c r="BE150" s="255"/>
      <c r="BF150" s="255"/>
      <c r="BG150" s="255"/>
      <c r="BH150" s="255"/>
      <c r="BI150" s="255"/>
      <c r="BJ150" s="255"/>
      <c r="BK150" s="255"/>
      <c r="BL150" s="255"/>
      <c r="BM150" s="255"/>
      <c r="BN150" s="255"/>
      <c r="BO150" s="255"/>
      <c r="BP150" s="255"/>
      <c r="BQ150" s="255"/>
      <c r="BR150" s="255"/>
      <c r="BS150" s="255"/>
    </row>
    <row r="151" spans="1:71" x14ac:dyDescent="0.25">
      <c r="A151" s="255"/>
      <c r="B151" s="239" t="s">
        <v>209</v>
      </c>
      <c r="C151" s="238">
        <f>TRUNC(C149/C150,2)</f>
        <v>82.4</v>
      </c>
      <c r="D151" s="238">
        <f>TRUNC(D149/D150,2)</f>
        <v>82.4</v>
      </c>
      <c r="E151" s="238">
        <f>TRUNC(E149/E150,2)</f>
        <v>0</v>
      </c>
      <c r="F151" s="238">
        <f t="shared" ref="F151" si="26">TRUNC(F149/F150,2)</f>
        <v>0</v>
      </c>
      <c r="G151" s="238">
        <f t="shared" ref="G151" si="27">TRUNC(G149/G150,2)</f>
        <v>0</v>
      </c>
      <c r="H151" s="238">
        <f t="shared" ref="H151" si="28">TRUNC(H149/H150,2)</f>
        <v>0</v>
      </c>
      <c r="I151" s="238">
        <f t="shared" ref="I151" si="29">TRUNC(I149/I150,2)</f>
        <v>0</v>
      </c>
      <c r="J151" s="255"/>
      <c r="K151" s="255"/>
      <c r="L151" s="255"/>
      <c r="M151" s="255"/>
      <c r="N151" s="255"/>
      <c r="O151" s="255"/>
      <c r="P151" s="255"/>
      <c r="Q151" s="255"/>
      <c r="R151" s="255"/>
      <c r="S151" s="255"/>
      <c r="T151" s="255"/>
      <c r="U151" s="255"/>
      <c r="V151" s="255"/>
      <c r="W151" s="255"/>
      <c r="X151" s="255"/>
      <c r="Y151" s="255"/>
      <c r="Z151" s="255"/>
      <c r="AA151" s="255"/>
      <c r="AB151" s="255"/>
      <c r="AC151" s="255"/>
      <c r="AD151" s="255"/>
      <c r="AE151" s="255"/>
      <c r="AF151" s="255"/>
      <c r="AG151" s="255"/>
      <c r="AH151" s="255"/>
      <c r="AI151" s="255"/>
      <c r="AJ151" s="255"/>
      <c r="AK151" s="255"/>
      <c r="AL151" s="255"/>
      <c r="AM151" s="255"/>
      <c r="AN151" s="255"/>
      <c r="AO151" s="255"/>
      <c r="AP151" s="284">
        <v>11.2</v>
      </c>
      <c r="AQ151">
        <v>13.76</v>
      </c>
      <c r="AR151" s="255"/>
      <c r="AS151" s="255"/>
      <c r="AT151" s="255"/>
      <c r="AU151" s="255"/>
      <c r="AV151" s="255"/>
      <c r="AW151" s="255"/>
      <c r="AX151" s="255"/>
      <c r="AY151" s="255"/>
      <c r="AZ151" s="255"/>
      <c r="BA151" s="255"/>
      <c r="BB151" s="255"/>
      <c r="BC151" s="255"/>
      <c r="BD151" s="255"/>
      <c r="BE151" s="255"/>
      <c r="BF151" s="255"/>
      <c r="BG151" s="255"/>
      <c r="BH151" s="255"/>
      <c r="BI151" s="255"/>
      <c r="BJ151" s="255"/>
      <c r="BK151" s="255"/>
      <c r="BL151" s="255"/>
      <c r="BM151" s="255"/>
      <c r="BN151" s="255"/>
      <c r="BO151" s="255"/>
      <c r="BP151" s="255"/>
      <c r="BQ151" s="255"/>
      <c r="BR151" s="255"/>
      <c r="BS151" s="255"/>
    </row>
    <row r="152" spans="1:71" x14ac:dyDescent="0.25">
      <c r="A152" s="255"/>
      <c r="B152" s="237" t="s">
        <v>211</v>
      </c>
      <c r="C152" s="315">
        <v>65</v>
      </c>
      <c r="D152" s="315">
        <v>0</v>
      </c>
      <c r="E152" s="315"/>
      <c r="F152" s="315"/>
      <c r="G152" s="315"/>
      <c r="H152" s="315"/>
      <c r="I152" s="315"/>
      <c r="J152" s="255"/>
      <c r="K152" s="255"/>
      <c r="L152" s="255"/>
      <c r="M152" s="255"/>
      <c r="N152" s="255"/>
      <c r="O152" s="255"/>
      <c r="P152" s="255"/>
      <c r="Q152" s="255"/>
      <c r="R152" s="255"/>
      <c r="S152" s="255"/>
      <c r="T152" s="255"/>
      <c r="U152" s="255"/>
      <c r="V152" s="255"/>
      <c r="W152" s="255"/>
      <c r="X152" s="255"/>
      <c r="Y152" s="255"/>
      <c r="Z152" s="255"/>
      <c r="AA152" s="255"/>
      <c r="AB152" s="255"/>
      <c r="AC152" s="255"/>
      <c r="AD152" s="255"/>
      <c r="AE152" s="255"/>
      <c r="AF152" s="255"/>
      <c r="AG152" s="255"/>
      <c r="AH152" s="255"/>
      <c r="AI152" s="255"/>
      <c r="AJ152" s="255"/>
      <c r="AK152" s="255"/>
      <c r="AL152" s="255"/>
      <c r="AM152" s="255"/>
      <c r="AN152" s="255"/>
      <c r="AO152" s="255"/>
      <c r="AP152" s="284">
        <v>11.3</v>
      </c>
      <c r="AQ152">
        <v>13.75</v>
      </c>
      <c r="AR152" s="255"/>
      <c r="AS152" s="255"/>
      <c r="AT152" s="255"/>
      <c r="AU152" s="255"/>
      <c r="AV152" s="255"/>
      <c r="AW152" s="255"/>
      <c r="AX152" s="255"/>
      <c r="AY152" s="255"/>
      <c r="AZ152" s="255"/>
      <c r="BA152" s="255"/>
      <c r="BB152" s="255"/>
      <c r="BC152" s="255"/>
      <c r="BD152" s="255"/>
      <c r="BE152" s="255"/>
      <c r="BF152" s="255"/>
      <c r="BG152" s="255"/>
      <c r="BH152" s="255"/>
      <c r="BI152" s="255"/>
      <c r="BJ152" s="255"/>
      <c r="BK152" s="255"/>
      <c r="BL152" s="255"/>
      <c r="BM152" s="255"/>
      <c r="BN152" s="255"/>
      <c r="BO152" s="255"/>
      <c r="BP152" s="255"/>
      <c r="BQ152" s="255"/>
      <c r="BR152" s="255"/>
      <c r="BS152" s="255"/>
    </row>
    <row r="153" spans="1:71" x14ac:dyDescent="0.25">
      <c r="A153" s="255"/>
      <c r="B153" s="239" t="s">
        <v>421</v>
      </c>
      <c r="C153" s="238" cm="1">
        <f t="array" ref="C153">IFERROR(
IF(
  OR($E$121&lt;MIN($S$123:$S$125),$E$121&gt;MAX($S$123:$S$125),C152&lt;MIN($T$122:$AF$122),C152&gt;MAX($T$122:$AF$122)),
  0,
  (
    INDEX($T$123:$AF$125,MATCH($E$121,$S$123:$S$125,-1),MATCH(C152,$T$122:$AF$122,1))*
      ($E$121-INDEX($S$123:$S$125,MATCH($E$121,$S$123:$S$125,-1)+1))*
      (INDEX($T$122:$AF$122,1,MATCH(C152,$T$122:$AF$122,1)+1)-C152)
  +
    INDEX($T$123:$AF$125,MATCH($E$121,$S$123:$S$125,-1)+1,MATCH(C152,$T$122:$AF$122,1))*
      (INDEX($S$123:$S$125,MATCH($E$121,$S$123:$S$125,-1))-$E$121)*
      (INDEX($T$122:$AF$122,1,MATCH(C152,$T$122:$AF$122,1)+1)-C152)
  +
    INDEX($T$123:$AF$125,MATCH($E$121,$S$123:$S$125,-1),MATCH(C152,$T$122:$AF$122,1)+1)*
      ($E$121-INDEX($S$123:$S$125,MATCH($E$121,$S$123:$S$125,-1)+1))*
      (C152-INDEX($T$122:$AF$122,1,MATCH(C152,$T$122:$AF$122,1)))
  +
    INDEX($T$123:$AF$125,MATCH($E$121,$S$123:$S$125,-1)+1,MATCH(C152,$T$122:$AF$122,1)+1)*
      (INDEX($S$123:$S$125,MATCH($E$121,$S$123:$S$125,-1))-$E$121)*
      (C152-INDEX($T$122:$AF$122,1,MATCH(C152,$T$122:$AF$122,1)))
  )
  /
  (
    (INDEX($S$123:$S$125,MATCH($E$121,$S$123:$S$125,-1))-INDEX($S$123:$S$125,MATCH($E$121,$S$123:$S$125,-1)+1))*
    (INDEX($T$122:$AF$122,1,MATCH(C152,$T$122:$AF$122,1)+1)-INDEX($T$122:$AF$122,1,MATCH(C152,$T$122:$AF$122,1)))
  )
),
0)</f>
        <v>0.69000000000000006</v>
      </c>
      <c r="D153" s="238" cm="1">
        <f t="array" ref="D153">IFERROR(
IF(
  OR($E$121&lt;MIN($S$123:$S$125),$E$121&gt;MAX($S$123:$S$125),D152&lt;MIN($T$122:$AF$122),D152&gt;MAX($T$122:$AF$122)),
  0,
  (
    INDEX($T$123:$AF$125,MATCH($E$121,$S$123:$S$125,-1),MATCH(D152,$T$122:$AF$122,1))*
      ($E$121-INDEX($S$123:$S$125,MATCH($E$121,$S$123:$S$125,-1)+1))*
      (INDEX($T$122:$AF$122,1,MATCH(D152,$T$122:$AF$122,1)+1)-D152)
  +
    INDEX($T$123:$AF$125,MATCH($E$121,$S$123:$S$125,-1)+1,MATCH(D152,$T$122:$AF$122,1))*
      (INDEX($S$123:$S$125,MATCH($E$121,$S$123:$S$125,-1))-$E$121)*
      (INDEX($T$122:$AF$122,1,MATCH(D152,$T$122:$AF$122,1)+1)-D152)
  +
    INDEX($T$123:$AF$125,MATCH($E$121,$S$123:$S$125,-1),MATCH(D152,$T$122:$AF$122,1)+1)*
      ($E$121-INDEX($S$123:$S$125,MATCH($E$121,$S$123:$S$125,-1)+1))*
      (D152-INDEX($T$122:$AF$122,1,MATCH(D152,$T$122:$AF$122,1)))
  +
    INDEX($T$123:$AF$125,MATCH($E$121,$S$123:$S$125,-1)+1,MATCH(D152,$T$122:$AF$122,1)+1)*
      (INDEX($S$123:$S$125,MATCH($E$121,$S$123:$S$125,-1))-$E$121)*
      (D152-INDEX($T$122:$AF$122,1,MATCH(D152,$T$122:$AF$122,1)))
  )
  /
  (
    (INDEX($S$123:$S$125,MATCH($E$121,$S$123:$S$125,-1))-INDEX($S$123:$S$125,MATCH($E$121,$S$123:$S$125,-1)+1))*
    (INDEX($T$122:$AF$122,1,MATCH(D152,$T$122:$AF$122,1)+1)-INDEX($T$122:$AF$122,1,MATCH(D152,$T$122:$AF$122,1)))
  )
),
0)</f>
        <v>1</v>
      </c>
      <c r="E153" s="238" cm="1">
        <f t="array" ref="E153">IFERROR(
IF(
  OR($E$121&lt;MIN($S$123:$S$125),$E$121&gt;MAX($S$123:$S$125),E152&lt;MIN($T$122:$AF$122),E152&gt;MAX($T$122:$AF$122)),
  0,
  (
    INDEX($T$123:$AF$125,MATCH($E$121,$S$123:$S$125,-1),MATCH(E152,$T$122:$AF$122,1))*
      ($E$121-INDEX($S$123:$S$125,MATCH($E$121,$S$123:$S$125,-1)+1))*
      (INDEX($T$122:$AF$122,1,MATCH(E152,$T$122:$AF$122,1)+1)-E152)
  +
    INDEX($T$123:$AF$125,MATCH($E$121,$S$123:$S$125,-1)+1,MATCH(E152,$T$122:$AF$122,1))*
      (INDEX($S$123:$S$125,MATCH($E$121,$S$123:$S$125,-1))-$E$121)*
      (INDEX($T$122:$AF$122,1,MATCH(E152,$T$122:$AF$122,1)+1)-E152)
  +
    INDEX($T$123:$AF$125,MATCH($E$121,$S$123:$S$125,-1),MATCH(E152,$T$122:$AF$122,1)+1)*
      ($E$121-INDEX($S$123:$S$125,MATCH($E$121,$S$123:$S$125,-1)+1))*
      (E152-INDEX($T$122:$AF$122,1,MATCH(E152,$T$122:$AF$122,1)))
  +
    INDEX($T$123:$AF$125,MATCH($E$121,$S$123:$S$125,-1)+1,MATCH(E152,$T$122:$AF$122,1)+1)*
      (INDEX($S$123:$S$125,MATCH($E$121,$S$123:$S$125,-1))-$E$121)*
      (E152-INDEX($T$122:$AF$122,1,MATCH(E152,$T$122:$AF$122,1)))
  )
  /
  (
    (INDEX($S$123:$S$125,MATCH($E$121,$S$123:$S$125,-1))-INDEX($S$123:$S$125,MATCH($E$121,$S$123:$S$125,-1)+1))*
    (INDEX($T$122:$AF$122,1,MATCH(E152,$T$122:$AF$122,1)+1)-INDEX($T$122:$AF$122,1,MATCH(E152,$T$122:$AF$122,1)))
  )
),
0)</f>
        <v>1</v>
      </c>
      <c r="F153" s="238" cm="1">
        <f t="array" ref="F153">IFERROR(
IF(
  OR($E$121&lt;MIN($S$123:$S$125),$E$121&gt;MAX($S$123:$S$125),F152&lt;MIN($T$122:$AF$122),F152&gt;MAX($T$122:$AF$122)),
  0,
  (
    INDEX($T$123:$AF$125,MATCH($E$121,$S$123:$S$125,-1),MATCH(F152,$T$122:$AF$122,1))*
      ($E$121-INDEX($S$123:$S$125,MATCH($E$121,$S$123:$S$125,-1)+1))*
      (INDEX($T$122:$AF$122,1,MATCH(F152,$T$122:$AF$122,1)+1)-F152)
  +
    INDEX($T$123:$AF$125,MATCH($E$121,$S$123:$S$125,-1)+1,MATCH(F152,$T$122:$AF$122,1))*
      (INDEX($S$123:$S$125,MATCH($E$121,$S$123:$S$125,-1))-$E$121)*
      (INDEX($T$122:$AF$122,1,MATCH(F152,$T$122:$AF$122,1)+1)-F152)
  +
    INDEX($T$123:$AF$125,MATCH($E$121,$S$123:$S$125,-1),MATCH(F152,$T$122:$AF$122,1)+1)*
      ($E$121-INDEX($S$123:$S$125,MATCH($E$121,$S$123:$S$125,-1)+1))*
      (F152-INDEX($T$122:$AF$122,1,MATCH(F152,$T$122:$AF$122,1)))
  +
    INDEX($T$123:$AF$125,MATCH($E$121,$S$123:$S$125,-1)+1,MATCH(F152,$T$122:$AF$122,1)+1)*
      (INDEX($S$123:$S$125,MATCH($E$121,$S$123:$S$125,-1))-$E$121)*
      (F152-INDEX($T$122:$AF$122,1,MATCH(F152,$T$122:$AF$122,1)))
  )
  /
  (
    (INDEX($S$123:$S$125,MATCH($E$121,$S$123:$S$125,-1))-INDEX($S$123:$S$125,MATCH($E$121,$S$123:$S$125,-1)+1))*
    (INDEX($T$122:$AF$122,1,MATCH(F152,$T$122:$AF$122,1)+1)-INDEX($T$122:$AF$122,1,MATCH(F152,$T$122:$AF$122,1)))
  )
),
0)</f>
        <v>1</v>
      </c>
      <c r="G153" s="238" cm="1">
        <f t="array" ref="G153">IFERROR(
IF(
  OR($E$121&lt;MIN($S$123:$S$125),$E$121&gt;MAX($S$123:$S$125),G152&lt;MIN($T$122:$AF$122),G152&gt;MAX($T$122:$AF$122)),
  0,
  (
    INDEX($T$123:$AF$125,MATCH($E$121,$S$123:$S$125,-1),MATCH(G152,$T$122:$AF$122,1))*
      ($E$121-INDEX($S$123:$S$125,MATCH($E$121,$S$123:$S$125,-1)+1))*
      (INDEX($T$122:$AF$122,1,MATCH(G152,$T$122:$AF$122,1)+1)-G152)
  +
    INDEX($T$123:$AF$125,MATCH($E$121,$S$123:$S$125,-1)+1,MATCH(G152,$T$122:$AF$122,1))*
      (INDEX($S$123:$S$125,MATCH($E$121,$S$123:$S$125,-1))-$E$121)*
      (INDEX($T$122:$AF$122,1,MATCH(G152,$T$122:$AF$122,1)+1)-G152)
  +
    INDEX($T$123:$AF$125,MATCH($E$121,$S$123:$S$125,-1),MATCH(G152,$T$122:$AF$122,1)+1)*
      ($E$121-INDEX($S$123:$S$125,MATCH($E$121,$S$123:$S$125,-1)+1))*
      (G152-INDEX($T$122:$AF$122,1,MATCH(G152,$T$122:$AF$122,1)))
  +
    INDEX($T$123:$AF$125,MATCH($E$121,$S$123:$S$125,-1)+1,MATCH(G152,$T$122:$AF$122,1)+1)*
      (INDEX($S$123:$S$125,MATCH($E$121,$S$123:$S$125,-1))-$E$121)*
      (G152-INDEX($T$122:$AF$122,1,MATCH(G152,$T$122:$AF$122,1)))
  )
  /
  (
    (INDEX($S$123:$S$125,MATCH($E$121,$S$123:$S$125,-1))-INDEX($S$123:$S$125,MATCH($E$121,$S$123:$S$125,-1)+1))*
    (INDEX($T$122:$AF$122,1,MATCH(G152,$T$122:$AF$122,1)+1)-INDEX($T$122:$AF$122,1,MATCH(G152,$T$122:$AF$122,1)))
  )
),
0)</f>
        <v>1</v>
      </c>
      <c r="H153" s="238" cm="1">
        <f t="array" ref="H153">IFERROR(
IF(
  OR($E$121&lt;MIN($S$123:$S$125),$E$121&gt;MAX($S$123:$S$125),H152&lt;MIN($T$122:$AF$122),H152&gt;MAX($T$122:$AF$122)),
  0,
  (
    INDEX($T$123:$AF$125,MATCH($E$121,$S$123:$S$125,-1),MATCH(H152,$T$122:$AF$122,1))*
      ($E$121-INDEX($S$123:$S$125,MATCH($E$121,$S$123:$S$125,-1)+1))*
      (INDEX($T$122:$AF$122,1,MATCH(H152,$T$122:$AF$122,1)+1)-H152)
  +
    INDEX($T$123:$AF$125,MATCH($E$121,$S$123:$S$125,-1)+1,MATCH(H152,$T$122:$AF$122,1))*
      (INDEX($S$123:$S$125,MATCH($E$121,$S$123:$S$125,-1))-$E$121)*
      (INDEX($T$122:$AF$122,1,MATCH(H152,$T$122:$AF$122,1)+1)-H152)
  +
    INDEX($T$123:$AF$125,MATCH($E$121,$S$123:$S$125,-1),MATCH(H152,$T$122:$AF$122,1)+1)*
      ($E$121-INDEX($S$123:$S$125,MATCH($E$121,$S$123:$S$125,-1)+1))*
      (H152-INDEX($T$122:$AF$122,1,MATCH(H152,$T$122:$AF$122,1)))
  +
    INDEX($T$123:$AF$125,MATCH($E$121,$S$123:$S$125,-1)+1,MATCH(H152,$T$122:$AF$122,1)+1)*
      (INDEX($S$123:$S$125,MATCH($E$121,$S$123:$S$125,-1))-$E$121)*
      (H152-INDEX($T$122:$AF$122,1,MATCH(H152,$T$122:$AF$122,1)))
  )
  /
  (
    (INDEX($S$123:$S$125,MATCH($E$121,$S$123:$S$125,-1))-INDEX($S$123:$S$125,MATCH($E$121,$S$123:$S$125,-1)+1))*
    (INDEX($T$122:$AF$122,1,MATCH(H152,$T$122:$AF$122,1)+1)-INDEX($T$122:$AF$122,1,MATCH(H152,$T$122:$AF$122,1)))
  )
),
0)</f>
        <v>1</v>
      </c>
      <c r="I153" s="238" cm="1">
        <f t="array" ref="I153">IFERROR(
IF(
  OR($E$121&lt;MIN($S$123:$S$125),$E$121&gt;MAX($S$123:$S$125),I152&lt;MIN($T$122:$AF$122),I152&gt;MAX($T$122:$AF$122)),
  0,
  (
    INDEX($T$123:$AF$125,MATCH($E$121,$S$123:$S$125,-1),MATCH(I152,$T$122:$AF$122,1))*
      ($E$121-INDEX($S$123:$S$125,MATCH($E$121,$S$123:$S$125,-1)+1))*
      (INDEX($T$122:$AF$122,1,MATCH(I152,$T$122:$AF$122,1)+1)-I152)
  +
    INDEX($T$123:$AF$125,MATCH($E$121,$S$123:$S$125,-1)+1,MATCH(I152,$T$122:$AF$122,1))*
      (INDEX($S$123:$S$125,MATCH($E$121,$S$123:$S$125,-1))-$E$121)*
      (INDEX($T$122:$AF$122,1,MATCH(I152,$T$122:$AF$122,1)+1)-I152)
  +
    INDEX($T$123:$AF$125,MATCH($E$121,$S$123:$S$125,-1),MATCH(I152,$T$122:$AF$122,1)+1)*
      ($E$121-INDEX($S$123:$S$125,MATCH($E$121,$S$123:$S$125,-1)+1))*
      (I152-INDEX($T$122:$AF$122,1,MATCH(I152,$T$122:$AF$122,1)))
  +
    INDEX($T$123:$AF$125,MATCH($E$121,$S$123:$S$125,-1)+1,MATCH(I152,$T$122:$AF$122,1)+1)*
      (INDEX($S$123:$S$125,MATCH($E$121,$S$123:$S$125,-1))-$E$121)*
      (I152-INDEX($T$122:$AF$122,1,MATCH(I152,$T$122:$AF$122,1)))
  )
  /
  (
    (INDEX($S$123:$S$125,MATCH($E$121,$S$123:$S$125,-1))-INDEX($S$123:$S$125,MATCH($E$121,$S$123:$S$125,-1)+1))*
    (INDEX($T$122:$AF$122,1,MATCH(I152,$T$122:$AF$122,1)+1)-INDEX($T$122:$AF$122,1,MATCH(I152,$T$122:$AF$122,1)))
  )
),
0)</f>
        <v>1</v>
      </c>
      <c r="J153" s="240"/>
      <c r="K153" s="239" t="s">
        <v>418</v>
      </c>
      <c r="L153" s="255"/>
      <c r="M153" s="255"/>
      <c r="N153" s="255"/>
      <c r="O153" s="255"/>
      <c r="P153" s="255"/>
      <c r="Q153" s="255"/>
      <c r="R153" s="255"/>
      <c r="S153" s="255"/>
      <c r="T153" s="255"/>
      <c r="U153" s="255"/>
      <c r="V153" s="255"/>
      <c r="W153" s="255"/>
      <c r="X153" s="255"/>
      <c r="Y153" s="255"/>
      <c r="Z153" s="255"/>
      <c r="AA153" s="255"/>
      <c r="AB153" s="255"/>
      <c r="AC153" s="255"/>
      <c r="AD153" s="255"/>
      <c r="AE153" s="255"/>
      <c r="AF153" s="255"/>
      <c r="AG153" s="255"/>
      <c r="AH153" s="255"/>
      <c r="AI153" s="255"/>
      <c r="AJ153" s="255"/>
      <c r="AK153" s="255"/>
      <c r="AL153" s="255"/>
      <c r="AM153" s="255"/>
      <c r="AN153" s="255"/>
      <c r="AO153" s="255"/>
      <c r="AP153" s="284">
        <v>11.4</v>
      </c>
      <c r="AQ153">
        <v>13.74</v>
      </c>
      <c r="AR153" s="255"/>
      <c r="AS153" s="255"/>
      <c r="AT153" s="255"/>
      <c r="AU153" s="255"/>
      <c r="AV153" s="255"/>
      <c r="AW153" s="255"/>
      <c r="AX153" s="255"/>
      <c r="AY153" s="255"/>
      <c r="AZ153" s="255"/>
      <c r="BA153" s="255"/>
      <c r="BB153" s="255"/>
      <c r="BC153" s="255"/>
      <c r="BD153" s="255"/>
      <c r="BE153" s="255"/>
      <c r="BF153" s="255"/>
      <c r="BG153" s="255"/>
      <c r="BH153" s="255"/>
      <c r="BI153" s="255"/>
      <c r="BJ153" s="255"/>
      <c r="BK153" s="255"/>
      <c r="BL153" s="255"/>
      <c r="BM153" s="255"/>
      <c r="BN153" s="255"/>
      <c r="BO153" s="255"/>
      <c r="BP153" s="255"/>
      <c r="BQ153" s="255"/>
      <c r="BR153" s="255"/>
      <c r="BS153" s="255"/>
    </row>
    <row r="154" spans="1:71" x14ac:dyDescent="0.25">
      <c r="A154" s="255"/>
      <c r="B154" s="239" t="s">
        <v>422</v>
      </c>
      <c r="C154" s="238">
        <f>TRUNC(C151*C153*C148,2)</f>
        <v>568.55999999999995</v>
      </c>
      <c r="D154" s="238">
        <f t="shared" ref="D154" si="30">TRUNC(D151*D153*D148,2)</f>
        <v>824</v>
      </c>
      <c r="E154" s="238">
        <f>TRUNC(E151*E153*E148,2)</f>
        <v>0</v>
      </c>
      <c r="F154" s="238">
        <f t="shared" ref="F154" si="31">TRUNC(F151*F153*F148,2)</f>
        <v>0</v>
      </c>
      <c r="G154" s="238">
        <f t="shared" ref="G154" si="32">TRUNC(G151*G153*G148,2)</f>
        <v>0</v>
      </c>
      <c r="H154" s="238">
        <f t="shared" ref="H154" si="33">TRUNC(H151*H153*H148,2)</f>
        <v>0</v>
      </c>
      <c r="I154" s="238">
        <f t="shared" ref="I154" si="34">TRUNC(I151*I153*I148,2)</f>
        <v>0</v>
      </c>
      <c r="K154" s="238">
        <f>C154+D154+E154+F154+G154+H154+I154</f>
        <v>1392.56</v>
      </c>
      <c r="L154" s="255"/>
      <c r="M154" s="255"/>
      <c r="N154" s="255"/>
      <c r="O154" s="255"/>
      <c r="P154" s="255"/>
      <c r="Q154" s="255"/>
      <c r="R154" s="255"/>
      <c r="S154" s="255"/>
      <c r="T154" s="255"/>
      <c r="U154" s="255"/>
      <c r="V154" s="255"/>
      <c r="W154" s="255"/>
      <c r="X154" s="255"/>
      <c r="Y154" s="255"/>
      <c r="Z154" s="255"/>
      <c r="AA154" s="255"/>
      <c r="AB154" s="255"/>
      <c r="AC154" s="255"/>
      <c r="AD154" s="255"/>
      <c r="AE154" s="255"/>
      <c r="AF154" s="255"/>
      <c r="AG154" s="255"/>
      <c r="AH154" s="255"/>
      <c r="AI154" s="255"/>
      <c r="AJ154" s="255"/>
      <c r="AK154" s="255"/>
      <c r="AL154" s="255"/>
      <c r="AM154" s="255"/>
      <c r="AN154" s="255"/>
      <c r="AO154" s="255"/>
      <c r="AP154" s="284">
        <v>11.5</v>
      </c>
      <c r="AQ154">
        <v>13.73</v>
      </c>
      <c r="AR154" s="255"/>
      <c r="AS154" s="255"/>
      <c r="AT154" s="255"/>
      <c r="AU154" s="255"/>
      <c r="AV154" s="255"/>
      <c r="AW154" s="255"/>
      <c r="AX154" s="255"/>
      <c r="AY154" s="255"/>
      <c r="AZ154" s="255"/>
      <c r="BA154" s="255"/>
      <c r="BB154" s="255"/>
      <c r="BC154" s="255"/>
      <c r="BD154" s="255"/>
      <c r="BE154" s="255"/>
      <c r="BF154" s="255"/>
      <c r="BG154" s="255"/>
      <c r="BH154" s="255"/>
      <c r="BI154" s="255"/>
      <c r="BJ154" s="255"/>
      <c r="BK154" s="255"/>
      <c r="BL154" s="255"/>
      <c r="BM154" s="255"/>
      <c r="BN154" s="255"/>
      <c r="BO154" s="255"/>
      <c r="BP154" s="255"/>
      <c r="BQ154" s="255"/>
      <c r="BR154" s="255"/>
      <c r="BS154" s="255"/>
    </row>
    <row r="155" spans="1:71" x14ac:dyDescent="0.25">
      <c r="A155" s="255"/>
      <c r="B155" s="255"/>
      <c r="C155" s="255"/>
      <c r="D155" s="255"/>
      <c r="E155" s="255"/>
      <c r="F155" s="255"/>
      <c r="G155" s="255"/>
      <c r="H155" s="255"/>
      <c r="I155" s="255"/>
      <c r="J155" s="255"/>
      <c r="K155" s="255"/>
      <c r="L155" s="255"/>
      <c r="M155" s="255"/>
      <c r="N155" s="255"/>
      <c r="O155" s="255"/>
      <c r="P155" s="255"/>
      <c r="Q155" s="255"/>
      <c r="R155" s="255"/>
      <c r="S155" s="255"/>
      <c r="T155" s="255"/>
      <c r="U155" s="255"/>
      <c r="V155" s="255"/>
      <c r="W155" s="255"/>
      <c r="X155" s="255"/>
      <c r="Y155" s="255"/>
      <c r="Z155" s="255"/>
      <c r="AA155" s="255"/>
      <c r="AB155" s="255"/>
      <c r="AC155" s="255"/>
      <c r="AD155" s="255"/>
      <c r="AE155" s="255"/>
      <c r="AF155" s="255"/>
      <c r="AG155" s="255"/>
      <c r="AH155" s="255"/>
      <c r="AI155" s="255"/>
      <c r="AJ155" s="255"/>
      <c r="AK155" s="255"/>
      <c r="AL155" s="255"/>
      <c r="AM155" s="255"/>
      <c r="AN155" s="255"/>
      <c r="AO155" s="255"/>
      <c r="AP155" s="284">
        <v>11.6</v>
      </c>
      <c r="AQ155">
        <v>13.72</v>
      </c>
      <c r="AR155" s="255"/>
      <c r="AS155" s="255"/>
      <c r="AT155" s="255"/>
      <c r="AU155" s="255"/>
      <c r="AV155" s="255"/>
      <c r="AW155" s="255"/>
      <c r="AX155" s="255"/>
      <c r="AY155" s="255"/>
      <c r="AZ155" s="255"/>
      <c r="BA155" s="255"/>
      <c r="BB155" s="255"/>
      <c r="BC155" s="255"/>
      <c r="BD155" s="255"/>
      <c r="BE155" s="255"/>
      <c r="BF155" s="255"/>
      <c r="BG155" s="255"/>
      <c r="BH155" s="255"/>
      <c r="BI155" s="255"/>
      <c r="BJ155" s="255"/>
      <c r="BK155" s="255"/>
      <c r="BL155" s="255"/>
      <c r="BM155" s="255"/>
      <c r="BN155" s="255"/>
      <c r="BO155" s="255"/>
      <c r="BP155" s="255"/>
      <c r="BQ155" s="255"/>
      <c r="BR155" s="255"/>
      <c r="BS155" s="255"/>
    </row>
    <row r="156" spans="1:71" x14ac:dyDescent="0.25">
      <c r="A156" s="255"/>
      <c r="B156" s="239" t="s">
        <v>425</v>
      </c>
      <c r="C156" s="240">
        <v>1</v>
      </c>
      <c r="D156" s="240">
        <v>2</v>
      </c>
      <c r="E156" s="240">
        <v>3</v>
      </c>
      <c r="F156" s="240">
        <v>4</v>
      </c>
      <c r="G156" s="240">
        <v>5</v>
      </c>
      <c r="H156" s="240">
        <v>6</v>
      </c>
      <c r="I156" s="240">
        <v>7</v>
      </c>
      <c r="J156" s="255"/>
      <c r="K156" s="255"/>
      <c r="L156" s="255"/>
      <c r="M156" s="255"/>
      <c r="N156" s="255"/>
      <c r="O156" s="255"/>
      <c r="P156" s="255"/>
      <c r="Q156" s="255"/>
      <c r="R156" s="255"/>
      <c r="S156" s="255"/>
      <c r="T156" s="255"/>
      <c r="U156" s="255"/>
      <c r="V156" s="255"/>
      <c r="W156" s="255"/>
      <c r="X156" s="255"/>
      <c r="Y156" s="255"/>
      <c r="Z156" s="255"/>
      <c r="AA156" s="255"/>
      <c r="AB156" s="255"/>
      <c r="AC156" s="255"/>
      <c r="AD156" s="255"/>
      <c r="AE156" s="255"/>
      <c r="AF156" s="255"/>
      <c r="AG156" s="255"/>
      <c r="AH156" s="255"/>
      <c r="AI156" s="255"/>
      <c r="AJ156" s="255"/>
      <c r="AK156" s="255"/>
      <c r="AL156" s="255"/>
      <c r="AM156" s="255"/>
      <c r="AN156" s="255"/>
      <c r="AO156" s="255"/>
      <c r="AP156" s="284">
        <v>11.7</v>
      </c>
      <c r="AQ156">
        <v>13.71</v>
      </c>
      <c r="AR156" s="255"/>
      <c r="AS156" s="255"/>
      <c r="AT156" s="255"/>
      <c r="AU156" s="255"/>
      <c r="AV156" s="255"/>
      <c r="AW156" s="255"/>
      <c r="AX156" s="255"/>
      <c r="AY156" s="255"/>
      <c r="AZ156" s="255"/>
      <c r="BA156" s="255"/>
      <c r="BB156" s="255"/>
      <c r="BC156" s="255"/>
      <c r="BD156" s="255"/>
      <c r="BE156" s="255"/>
      <c r="BF156" s="255"/>
      <c r="BG156" s="255"/>
      <c r="BH156" s="255"/>
      <c r="BI156" s="255"/>
      <c r="BJ156" s="255"/>
      <c r="BK156" s="255"/>
      <c r="BL156" s="255"/>
      <c r="BM156" s="255"/>
      <c r="BN156" s="255"/>
      <c r="BO156" s="255"/>
      <c r="BP156" s="255"/>
      <c r="BQ156" s="255"/>
      <c r="BR156" s="255"/>
      <c r="BS156" s="255"/>
    </row>
    <row r="157" spans="1:71" x14ac:dyDescent="0.25">
      <c r="A157" s="255"/>
      <c r="B157" s="239" t="s">
        <v>419</v>
      </c>
      <c r="C157" s="315"/>
      <c r="D157" s="315"/>
      <c r="E157" s="315"/>
      <c r="F157" s="315"/>
      <c r="G157" s="315"/>
      <c r="H157" s="315"/>
      <c r="I157" s="315"/>
      <c r="J157" s="255"/>
      <c r="K157" s="255"/>
      <c r="L157" s="255"/>
      <c r="M157" s="255"/>
      <c r="N157" s="255"/>
      <c r="O157" s="255"/>
      <c r="P157" s="255"/>
      <c r="Q157" s="255"/>
      <c r="R157" s="255"/>
      <c r="S157" s="255"/>
      <c r="T157" s="255"/>
      <c r="U157" s="255"/>
      <c r="V157" s="255"/>
      <c r="W157" s="255"/>
      <c r="X157" s="255"/>
      <c r="Y157" s="255"/>
      <c r="Z157" s="255"/>
      <c r="AA157" s="255"/>
      <c r="AB157" s="255"/>
      <c r="AC157" s="255"/>
      <c r="AD157" s="255"/>
      <c r="AE157" s="255"/>
      <c r="AF157" s="255"/>
      <c r="AG157" s="255"/>
      <c r="AH157" s="255"/>
      <c r="AI157" s="255"/>
      <c r="AJ157" s="255"/>
      <c r="AK157" s="255"/>
      <c r="AL157" s="255"/>
      <c r="AM157" s="255"/>
      <c r="AN157" s="255"/>
      <c r="AO157" s="255"/>
      <c r="AP157" s="284">
        <v>11.8</v>
      </c>
      <c r="AQ157">
        <v>13.7</v>
      </c>
      <c r="AR157" s="255"/>
      <c r="AS157" s="255"/>
      <c r="AT157" s="255"/>
      <c r="AU157" s="255"/>
      <c r="AV157" s="255"/>
      <c r="AW157" s="255"/>
      <c r="AX157" s="255"/>
      <c r="AY157" s="255"/>
      <c r="AZ157" s="255"/>
      <c r="BA157" s="255"/>
      <c r="BB157" s="255"/>
      <c r="BC157" s="255"/>
      <c r="BD157" s="255"/>
      <c r="BE157" s="255"/>
      <c r="BF157" s="255"/>
      <c r="BG157" s="255"/>
      <c r="BH157" s="255"/>
      <c r="BI157" s="255"/>
      <c r="BJ157" s="255"/>
      <c r="BK157" s="255"/>
      <c r="BL157" s="255"/>
      <c r="BM157" s="255"/>
      <c r="BN157" s="255"/>
      <c r="BO157" s="255"/>
      <c r="BP157" s="255"/>
      <c r="BQ157" s="255"/>
      <c r="BR157" s="255"/>
      <c r="BS157" s="255"/>
    </row>
    <row r="158" spans="1:71" x14ac:dyDescent="0.25">
      <c r="A158" s="255"/>
      <c r="B158" s="239" t="s">
        <v>420</v>
      </c>
      <c r="C158" s="335">
        <v>0</v>
      </c>
      <c r="D158" s="335">
        <v>0</v>
      </c>
      <c r="E158" s="335">
        <v>0</v>
      </c>
      <c r="F158" s="335">
        <v>0</v>
      </c>
      <c r="G158" s="335">
        <v>0</v>
      </c>
      <c r="H158" s="335">
        <v>0</v>
      </c>
      <c r="I158" s="335">
        <v>0</v>
      </c>
      <c r="J158" s="255"/>
      <c r="K158" s="255"/>
      <c r="L158" s="255"/>
      <c r="M158" s="255"/>
      <c r="N158" s="255"/>
      <c r="O158" s="255"/>
      <c r="P158" s="255"/>
      <c r="Q158" s="255"/>
      <c r="R158" s="255"/>
      <c r="S158" s="255"/>
      <c r="T158" s="255"/>
      <c r="U158" s="255"/>
      <c r="V158" s="255"/>
      <c r="W158" s="255"/>
      <c r="X158" s="255"/>
      <c r="Y158" s="255"/>
      <c r="Z158" s="255"/>
      <c r="AA158" s="255"/>
      <c r="AB158" s="255"/>
      <c r="AC158" s="255"/>
      <c r="AD158" s="255"/>
      <c r="AE158" s="255"/>
      <c r="AF158" s="255"/>
      <c r="AG158" s="255"/>
      <c r="AH158" s="255"/>
      <c r="AI158" s="255"/>
      <c r="AJ158" s="255"/>
      <c r="AK158" s="255"/>
      <c r="AL158" s="255"/>
      <c r="AM158" s="255"/>
      <c r="AN158" s="255"/>
      <c r="AO158" s="255"/>
      <c r="AP158" s="284">
        <v>11.9</v>
      </c>
      <c r="AQ158">
        <v>13.7</v>
      </c>
      <c r="AR158" s="255"/>
      <c r="AS158" s="255"/>
      <c r="AT158" s="255"/>
      <c r="AU158" s="255"/>
      <c r="AV158" s="255"/>
      <c r="AW158" s="255"/>
      <c r="AX158" s="255"/>
      <c r="AY158" s="255"/>
      <c r="AZ158" s="255"/>
      <c r="BA158" s="255"/>
      <c r="BB158" s="255"/>
      <c r="BC158" s="255"/>
      <c r="BD158" s="255"/>
      <c r="BE158" s="255"/>
      <c r="BF158" s="255"/>
      <c r="BG158" s="255"/>
      <c r="BH158" s="255"/>
      <c r="BI158" s="255"/>
      <c r="BJ158" s="255"/>
      <c r="BK158" s="255"/>
      <c r="BL158" s="255"/>
      <c r="BM158" s="255"/>
      <c r="BN158" s="255"/>
      <c r="BO158" s="255"/>
      <c r="BP158" s="255"/>
      <c r="BQ158" s="255"/>
      <c r="BR158" s="255"/>
      <c r="BS158" s="255"/>
    </row>
    <row r="159" spans="1:71" x14ac:dyDescent="0.25">
      <c r="A159" s="255"/>
      <c r="B159" s="239" t="s">
        <v>194</v>
      </c>
      <c r="C159" s="272">
        <v>1.5</v>
      </c>
      <c r="D159" s="272">
        <v>1.5</v>
      </c>
      <c r="E159" s="272">
        <v>1.5</v>
      </c>
      <c r="F159" s="272">
        <v>1.5</v>
      </c>
      <c r="G159" s="272">
        <v>1.5</v>
      </c>
      <c r="H159" s="272">
        <v>1.5</v>
      </c>
      <c r="I159" s="272">
        <v>1.5</v>
      </c>
      <c r="J159" s="255"/>
      <c r="K159" s="255"/>
      <c r="L159" s="255"/>
      <c r="M159" s="255"/>
      <c r="N159" s="255"/>
      <c r="O159" s="255"/>
      <c r="P159" s="255"/>
      <c r="Q159" s="255"/>
      <c r="R159" s="255"/>
      <c r="S159" s="255"/>
      <c r="T159" s="255"/>
      <c r="U159" s="255"/>
      <c r="V159" s="255"/>
      <c r="W159" s="255"/>
      <c r="X159" s="255"/>
      <c r="Y159" s="255"/>
      <c r="Z159" s="255"/>
      <c r="AA159" s="255"/>
      <c r="AB159" s="255"/>
      <c r="AC159" s="255"/>
      <c r="AD159" s="255"/>
      <c r="AE159" s="255"/>
      <c r="AF159" s="255"/>
      <c r="AG159" s="255"/>
      <c r="AH159" s="255"/>
      <c r="AI159" s="255"/>
      <c r="AJ159" s="255"/>
      <c r="AK159" s="255"/>
      <c r="AL159" s="255"/>
      <c r="AM159" s="255"/>
      <c r="AN159" s="255"/>
      <c r="AO159" s="255"/>
      <c r="AP159" s="284">
        <v>12</v>
      </c>
      <c r="AQ159">
        <v>13.69</v>
      </c>
      <c r="AR159" s="255"/>
      <c r="AS159" s="255"/>
      <c r="AT159" s="255"/>
      <c r="AU159" s="255"/>
      <c r="AV159" s="255"/>
      <c r="AW159" s="255"/>
      <c r="AX159" s="255"/>
      <c r="AY159" s="255"/>
      <c r="AZ159" s="255"/>
      <c r="BA159" s="255"/>
      <c r="BB159" s="255"/>
      <c r="BC159" s="255"/>
      <c r="BD159" s="255"/>
      <c r="BE159" s="255"/>
      <c r="BF159" s="255"/>
      <c r="BG159" s="255"/>
      <c r="BH159" s="255"/>
      <c r="BI159" s="255"/>
      <c r="BJ159" s="255"/>
      <c r="BK159" s="255"/>
      <c r="BL159" s="255"/>
      <c r="BM159" s="255"/>
      <c r="BN159" s="255"/>
      <c r="BO159" s="255"/>
      <c r="BP159" s="255"/>
      <c r="BQ159" s="255"/>
      <c r="BR159" s="255"/>
      <c r="BS159" s="255"/>
    </row>
    <row r="160" spans="1:71" x14ac:dyDescent="0.25">
      <c r="A160" s="255"/>
      <c r="B160" s="239" t="s">
        <v>209</v>
      </c>
      <c r="C160" s="238">
        <f>TRUNC(C158/C159,2)</f>
        <v>0</v>
      </c>
      <c r="D160" s="238">
        <f>TRUNC(D158/D159,2)</f>
        <v>0</v>
      </c>
      <c r="E160" s="238">
        <f t="shared" ref="E160" si="35">TRUNC(E158/E159,2)</f>
        <v>0</v>
      </c>
      <c r="F160" s="238">
        <f t="shared" ref="F160" si="36">TRUNC(F158/F159,2)</f>
        <v>0</v>
      </c>
      <c r="G160" s="238">
        <f t="shared" ref="G160" si="37">TRUNC(G158/G159,2)</f>
        <v>0</v>
      </c>
      <c r="H160" s="238">
        <f t="shared" ref="H160" si="38">TRUNC(H158/H159,2)</f>
        <v>0</v>
      </c>
      <c r="I160" s="238">
        <f t="shared" ref="I160" si="39">TRUNC(I158/I159,2)</f>
        <v>0</v>
      </c>
      <c r="J160" s="255"/>
      <c r="K160" s="255"/>
      <c r="L160" s="255"/>
      <c r="M160" s="255"/>
      <c r="N160" s="255"/>
      <c r="O160" s="255"/>
      <c r="P160" s="255"/>
      <c r="Q160" s="255"/>
      <c r="R160" s="255"/>
      <c r="S160" s="255"/>
      <c r="T160" s="255"/>
      <c r="U160" s="255"/>
      <c r="V160" s="255"/>
      <c r="W160" s="255"/>
      <c r="X160" s="255"/>
      <c r="Y160" s="255"/>
      <c r="Z160" s="255"/>
      <c r="AA160" s="255"/>
      <c r="AB160" s="255"/>
      <c r="AC160" s="255"/>
      <c r="AD160" s="255"/>
      <c r="AE160" s="255"/>
      <c r="AF160" s="255"/>
      <c r="AG160" s="255"/>
      <c r="AH160" s="255"/>
      <c r="AI160" s="255"/>
      <c r="AJ160" s="255"/>
      <c r="AK160" s="255"/>
      <c r="AL160" s="255"/>
      <c r="AM160" s="255"/>
      <c r="AN160" s="255"/>
      <c r="AO160" s="255"/>
      <c r="AP160" s="284">
        <v>12.1</v>
      </c>
      <c r="AQ160">
        <v>13.69</v>
      </c>
      <c r="AR160" s="255"/>
      <c r="AS160" s="255"/>
      <c r="AT160" s="255"/>
      <c r="AU160" s="255"/>
      <c r="AV160" s="255"/>
      <c r="AW160" s="255"/>
      <c r="AX160" s="255"/>
      <c r="AY160" s="255"/>
      <c r="AZ160" s="255"/>
      <c r="BA160" s="255"/>
      <c r="BB160" s="255"/>
      <c r="BC160" s="255"/>
      <c r="BD160" s="255"/>
      <c r="BE160" s="255"/>
      <c r="BF160" s="255"/>
      <c r="BG160" s="255"/>
      <c r="BH160" s="255"/>
      <c r="BI160" s="255"/>
      <c r="BJ160" s="255"/>
      <c r="BK160" s="255"/>
      <c r="BL160" s="255"/>
      <c r="BM160" s="255"/>
      <c r="BN160" s="255"/>
      <c r="BO160" s="255"/>
      <c r="BP160" s="255"/>
      <c r="BQ160" s="255"/>
      <c r="BR160" s="255"/>
      <c r="BS160" s="255"/>
    </row>
    <row r="161" spans="1:71" x14ac:dyDescent="0.25">
      <c r="A161" s="255"/>
      <c r="B161" s="237" t="s">
        <v>211</v>
      </c>
      <c r="C161" s="315"/>
      <c r="D161" s="315"/>
      <c r="E161" s="315"/>
      <c r="F161" s="315"/>
      <c r="G161" s="315"/>
      <c r="H161" s="315"/>
      <c r="I161" s="315"/>
      <c r="J161" s="255"/>
      <c r="K161" s="255"/>
      <c r="L161" s="255"/>
      <c r="M161" s="255"/>
      <c r="N161" s="255"/>
      <c r="O161" s="255"/>
      <c r="P161" s="255"/>
      <c r="Q161" s="255"/>
      <c r="R161" s="255"/>
      <c r="S161" s="255"/>
      <c r="T161" s="255"/>
      <c r="U161" s="255"/>
      <c r="V161" s="255"/>
      <c r="W161" s="255"/>
      <c r="X161" s="255"/>
      <c r="Y161" s="255"/>
      <c r="Z161" s="255"/>
      <c r="AA161" s="255"/>
      <c r="AB161" s="255"/>
      <c r="AC161" s="255"/>
      <c r="AD161" s="255"/>
      <c r="AE161" s="255"/>
      <c r="AF161" s="255"/>
      <c r="AG161" s="255"/>
      <c r="AH161" s="255"/>
      <c r="AI161" s="255"/>
      <c r="AJ161" s="255"/>
      <c r="AK161" s="255"/>
      <c r="AL161" s="255"/>
      <c r="AM161" s="255"/>
      <c r="AN161" s="255"/>
      <c r="AO161" s="255"/>
      <c r="AP161" s="284">
        <v>12.2</v>
      </c>
      <c r="AQ161">
        <v>13.69</v>
      </c>
      <c r="AR161" s="255"/>
      <c r="AS161" s="255"/>
      <c r="AT161" s="255"/>
      <c r="AU161" s="255"/>
      <c r="AV161" s="255"/>
      <c r="AW161" s="255"/>
      <c r="AX161" s="255"/>
      <c r="AY161" s="255"/>
      <c r="AZ161" s="255"/>
      <c r="BA161" s="255"/>
      <c r="BB161" s="255"/>
      <c r="BC161" s="255"/>
      <c r="BD161" s="255"/>
      <c r="BE161" s="255"/>
      <c r="BF161" s="255"/>
      <c r="BG161" s="255"/>
      <c r="BH161" s="255"/>
      <c r="BI161" s="255"/>
      <c r="BJ161" s="255"/>
      <c r="BK161" s="255"/>
      <c r="BL161" s="255"/>
      <c r="BM161" s="255"/>
      <c r="BN161" s="255"/>
      <c r="BO161" s="255"/>
      <c r="BP161" s="255"/>
      <c r="BQ161" s="255"/>
      <c r="BR161" s="255"/>
      <c r="BS161" s="255"/>
    </row>
    <row r="162" spans="1:71" x14ac:dyDescent="0.25">
      <c r="A162" s="255"/>
      <c r="B162" s="239" t="s">
        <v>421</v>
      </c>
      <c r="C162" s="238" cm="1">
        <f t="array" ref="C162">IFERROR(
IF(
  OR($E$121&lt;MIN($S$123:$S$125),$E$121&gt;MAX($S$123:$S$125),C161&lt;MIN($T$122:$AF$122),C161&gt;MAX($T$122:$AF$122)),
  0,
  (
    INDEX($T$123:$AF$125,MATCH($E$121,$S$123:$S$125,-1),MATCH(C161,$T$122:$AF$122,1))*
      ($E$121-INDEX($S$123:$S$125,MATCH($E$121,$S$123:$S$125,-1)+1))*
      (INDEX($T$122:$AF$122,1,MATCH(C161,$T$122:$AF$122,1)+1)-C161)
  +
    INDEX($T$123:$AF$125,MATCH($E$121,$S$123:$S$125,-1)+1,MATCH(C161,$T$122:$AF$122,1))*
      (INDEX($S$123:$S$125,MATCH($E$121,$S$123:$S$125,-1))-$E$121)*
      (INDEX($T$122:$AF$122,1,MATCH(C161,$T$122:$AF$122,1)+1)-C161)
  +
    INDEX($T$123:$AF$125,MATCH($E$121,$S$123:$S$125,-1),MATCH(C161,$T$122:$AF$122,1)+1)*
      ($E$121-INDEX($S$123:$S$125,MATCH($E$121,$S$123:$S$125,-1)+1))*
      (C161-INDEX($T$122:$AF$122,1,MATCH(C161,$T$122:$AF$122,1)))
  +
    INDEX($T$123:$AF$125,MATCH($E$121,$S$123:$S$125,-1)+1,MATCH(C161,$T$122:$AF$122,1)+1)*
      (INDEX($S$123:$S$125,MATCH($E$121,$S$123:$S$125,-1))-$E$121)*
      (C161-INDEX($T$122:$AF$122,1,MATCH(C161,$T$122:$AF$122,1)))
  )
  /
  (
    (INDEX($S$123:$S$125,MATCH($E$121,$S$123:$S$125,-1))-INDEX($S$123:$S$125,MATCH($E$121,$S$123:$S$125,-1)+1))*
    (INDEX($T$122:$AF$122,1,MATCH(C161,$T$122:$AF$122,1)+1)-INDEX($T$122:$AF$122,1,MATCH(C161,$T$122:$AF$122,1)))
  )
),
0)</f>
        <v>1</v>
      </c>
      <c r="D162" s="238" cm="1">
        <f t="array" ref="D162">IFERROR(
IF(
  OR($E$121&lt;MIN($S$123:$S$125),$E$121&gt;MAX($S$123:$S$125),D161&lt;MIN($T$122:$AF$122),D161&gt;MAX($T$122:$AF$122)),
  0,
  (
    INDEX($T$123:$AF$125,MATCH($E$121,$S$123:$S$125,-1),MATCH(D161,$T$122:$AF$122,1))*
      ($E$121-INDEX($S$123:$S$125,MATCH($E$121,$S$123:$S$125,-1)+1))*
      (INDEX($T$122:$AF$122,1,MATCH(D161,$T$122:$AF$122,1)+1)-D161)
  +
    INDEX($T$123:$AF$125,MATCH($E$121,$S$123:$S$125,-1)+1,MATCH(D161,$T$122:$AF$122,1))*
      (INDEX($S$123:$S$125,MATCH($E$121,$S$123:$S$125,-1))-$E$121)*
      (INDEX($T$122:$AF$122,1,MATCH(D161,$T$122:$AF$122,1)+1)-D161)
  +
    INDEX($T$123:$AF$125,MATCH($E$121,$S$123:$S$125,-1),MATCH(D161,$T$122:$AF$122,1)+1)*
      ($E$121-INDEX($S$123:$S$125,MATCH($E$121,$S$123:$S$125,-1)+1))*
      (D161-INDEX($T$122:$AF$122,1,MATCH(D161,$T$122:$AF$122,1)))
  +
    INDEX($T$123:$AF$125,MATCH($E$121,$S$123:$S$125,-1)+1,MATCH(D161,$T$122:$AF$122,1)+1)*
      (INDEX($S$123:$S$125,MATCH($E$121,$S$123:$S$125,-1))-$E$121)*
      (D161-INDEX($T$122:$AF$122,1,MATCH(D161,$T$122:$AF$122,1)))
  )
  /
  (
    (INDEX($S$123:$S$125,MATCH($E$121,$S$123:$S$125,-1))-INDEX($S$123:$S$125,MATCH($E$121,$S$123:$S$125,-1)+1))*
    (INDEX($T$122:$AF$122,1,MATCH(D161,$T$122:$AF$122,1)+1)-INDEX($T$122:$AF$122,1,MATCH(D161,$T$122:$AF$122,1)))
  )
),
0)</f>
        <v>1</v>
      </c>
      <c r="E162" s="238" cm="1">
        <f t="array" ref="E162">IFERROR(
IF(
  OR($E$121&lt;MIN($S$123:$S$125),$E$121&gt;MAX($S$123:$S$125),E161&lt;MIN($T$122:$AF$122),E161&gt;MAX($T$122:$AF$122)),
  0,
  (
    INDEX($T$123:$AF$125,MATCH($E$121,$S$123:$S$125,-1),MATCH(E161,$T$122:$AF$122,1))*
      ($E$121-INDEX($S$123:$S$125,MATCH($E$121,$S$123:$S$125,-1)+1))*
      (INDEX($T$122:$AF$122,1,MATCH(E161,$T$122:$AF$122,1)+1)-E161)
  +
    INDEX($T$123:$AF$125,MATCH($E$121,$S$123:$S$125,-1)+1,MATCH(E161,$T$122:$AF$122,1))*
      (INDEX($S$123:$S$125,MATCH($E$121,$S$123:$S$125,-1))-$E$121)*
      (INDEX($T$122:$AF$122,1,MATCH(E161,$T$122:$AF$122,1)+1)-E161)
  +
    INDEX($T$123:$AF$125,MATCH($E$121,$S$123:$S$125,-1),MATCH(E161,$T$122:$AF$122,1)+1)*
      ($E$121-INDEX($S$123:$S$125,MATCH($E$121,$S$123:$S$125,-1)+1))*
      (E161-INDEX($T$122:$AF$122,1,MATCH(E161,$T$122:$AF$122,1)))
  +
    INDEX($T$123:$AF$125,MATCH($E$121,$S$123:$S$125,-1)+1,MATCH(E161,$T$122:$AF$122,1)+1)*
      (INDEX($S$123:$S$125,MATCH($E$121,$S$123:$S$125,-1))-$E$121)*
      (E161-INDEX($T$122:$AF$122,1,MATCH(E161,$T$122:$AF$122,1)))
  )
  /
  (
    (INDEX($S$123:$S$125,MATCH($E$121,$S$123:$S$125,-1))-INDEX($S$123:$S$125,MATCH($E$121,$S$123:$S$125,-1)+1))*
    (INDEX($T$122:$AF$122,1,MATCH(E161,$T$122:$AF$122,1)+1)-INDEX($T$122:$AF$122,1,MATCH(E161,$T$122:$AF$122,1)))
  )
),
0)</f>
        <v>1</v>
      </c>
      <c r="F162" s="238" cm="1">
        <f t="array" ref="F162">IFERROR(
IF(
  OR($E$121&lt;MIN($S$123:$S$125),$E$121&gt;MAX($S$123:$S$125),F161&lt;MIN($T$122:$AF$122),F161&gt;MAX($T$122:$AF$122)),
  0,
  (
    INDEX($T$123:$AF$125,MATCH($E$121,$S$123:$S$125,-1),MATCH(F161,$T$122:$AF$122,1))*
      ($E$121-INDEX($S$123:$S$125,MATCH($E$121,$S$123:$S$125,-1)+1))*
      (INDEX($T$122:$AF$122,1,MATCH(F161,$T$122:$AF$122,1)+1)-F161)
  +
    INDEX($T$123:$AF$125,MATCH($E$121,$S$123:$S$125,-1)+1,MATCH(F161,$T$122:$AF$122,1))*
      (INDEX($S$123:$S$125,MATCH($E$121,$S$123:$S$125,-1))-$E$121)*
      (INDEX($T$122:$AF$122,1,MATCH(F161,$T$122:$AF$122,1)+1)-F161)
  +
    INDEX($T$123:$AF$125,MATCH($E$121,$S$123:$S$125,-1),MATCH(F161,$T$122:$AF$122,1)+1)*
      ($E$121-INDEX($S$123:$S$125,MATCH($E$121,$S$123:$S$125,-1)+1))*
      (F161-INDEX($T$122:$AF$122,1,MATCH(F161,$T$122:$AF$122,1)))
  +
    INDEX($T$123:$AF$125,MATCH($E$121,$S$123:$S$125,-1)+1,MATCH(F161,$T$122:$AF$122,1)+1)*
      (INDEX($S$123:$S$125,MATCH($E$121,$S$123:$S$125,-1))-$E$121)*
      (F161-INDEX($T$122:$AF$122,1,MATCH(F161,$T$122:$AF$122,1)))
  )
  /
  (
    (INDEX($S$123:$S$125,MATCH($E$121,$S$123:$S$125,-1))-INDEX($S$123:$S$125,MATCH($E$121,$S$123:$S$125,-1)+1))*
    (INDEX($T$122:$AF$122,1,MATCH(F161,$T$122:$AF$122,1)+1)-INDEX($T$122:$AF$122,1,MATCH(F161,$T$122:$AF$122,1)))
  )
),
0)</f>
        <v>1</v>
      </c>
      <c r="G162" s="238" cm="1">
        <f t="array" ref="G162">IFERROR(
IF(
  OR($E$121&lt;MIN($S$123:$S$125),$E$121&gt;MAX($S$123:$S$125),G161&lt;MIN($T$122:$AF$122),G161&gt;MAX($T$122:$AF$122)),
  0,
  (
    INDEX($T$123:$AF$125,MATCH($E$121,$S$123:$S$125,-1),MATCH(G161,$T$122:$AF$122,1))*
      ($E$121-INDEX($S$123:$S$125,MATCH($E$121,$S$123:$S$125,-1)+1))*
      (INDEX($T$122:$AF$122,1,MATCH(G161,$T$122:$AF$122,1)+1)-G161)
  +
    INDEX($T$123:$AF$125,MATCH($E$121,$S$123:$S$125,-1)+1,MATCH(G161,$T$122:$AF$122,1))*
      (INDEX($S$123:$S$125,MATCH($E$121,$S$123:$S$125,-1))-$E$121)*
      (INDEX($T$122:$AF$122,1,MATCH(G161,$T$122:$AF$122,1)+1)-G161)
  +
    INDEX($T$123:$AF$125,MATCH($E$121,$S$123:$S$125,-1),MATCH(G161,$T$122:$AF$122,1)+1)*
      ($E$121-INDEX($S$123:$S$125,MATCH($E$121,$S$123:$S$125,-1)+1))*
      (G161-INDEX($T$122:$AF$122,1,MATCH(G161,$T$122:$AF$122,1)))
  +
    INDEX($T$123:$AF$125,MATCH($E$121,$S$123:$S$125,-1)+1,MATCH(G161,$T$122:$AF$122,1)+1)*
      (INDEX($S$123:$S$125,MATCH($E$121,$S$123:$S$125,-1))-$E$121)*
      (G161-INDEX($T$122:$AF$122,1,MATCH(G161,$T$122:$AF$122,1)))
  )
  /
  (
    (INDEX($S$123:$S$125,MATCH($E$121,$S$123:$S$125,-1))-INDEX($S$123:$S$125,MATCH($E$121,$S$123:$S$125,-1)+1))*
    (INDEX($T$122:$AF$122,1,MATCH(G161,$T$122:$AF$122,1)+1)-INDEX($T$122:$AF$122,1,MATCH(G161,$T$122:$AF$122,1)))
  )
),
0)</f>
        <v>1</v>
      </c>
      <c r="H162" s="238" cm="1">
        <f t="array" ref="H162">IFERROR(
IF(
  OR($E$121&lt;MIN($S$123:$S$125),$E$121&gt;MAX($S$123:$S$125),H161&lt;MIN($T$122:$AF$122),H161&gt;MAX($T$122:$AF$122)),
  0,
  (
    INDEX($T$123:$AF$125,MATCH($E$121,$S$123:$S$125,-1),MATCH(H161,$T$122:$AF$122,1))*
      ($E$121-INDEX($S$123:$S$125,MATCH($E$121,$S$123:$S$125,-1)+1))*
      (INDEX($T$122:$AF$122,1,MATCH(H161,$T$122:$AF$122,1)+1)-H161)
  +
    INDEX($T$123:$AF$125,MATCH($E$121,$S$123:$S$125,-1)+1,MATCH(H161,$T$122:$AF$122,1))*
      (INDEX($S$123:$S$125,MATCH($E$121,$S$123:$S$125,-1))-$E$121)*
      (INDEX($T$122:$AF$122,1,MATCH(H161,$T$122:$AF$122,1)+1)-H161)
  +
    INDEX($T$123:$AF$125,MATCH($E$121,$S$123:$S$125,-1),MATCH(H161,$T$122:$AF$122,1)+1)*
      ($E$121-INDEX($S$123:$S$125,MATCH($E$121,$S$123:$S$125,-1)+1))*
      (H161-INDEX($T$122:$AF$122,1,MATCH(H161,$T$122:$AF$122,1)))
  +
    INDEX($T$123:$AF$125,MATCH($E$121,$S$123:$S$125,-1)+1,MATCH(H161,$T$122:$AF$122,1)+1)*
      (INDEX($S$123:$S$125,MATCH($E$121,$S$123:$S$125,-1))-$E$121)*
      (H161-INDEX($T$122:$AF$122,1,MATCH(H161,$T$122:$AF$122,1)))
  )
  /
  (
    (INDEX($S$123:$S$125,MATCH($E$121,$S$123:$S$125,-1))-INDEX($S$123:$S$125,MATCH($E$121,$S$123:$S$125,-1)+1))*
    (INDEX($T$122:$AF$122,1,MATCH(H161,$T$122:$AF$122,1)+1)-INDEX($T$122:$AF$122,1,MATCH(H161,$T$122:$AF$122,1)))
  )
),
0)</f>
        <v>1</v>
      </c>
      <c r="I162" s="238" cm="1">
        <f t="array" ref="I162">IFERROR(
IF(
  OR($E$121&lt;MIN($S$123:$S$125),$E$121&gt;MAX($S$123:$S$125),I161&lt;MIN($T$122:$AF$122),I161&gt;MAX($T$122:$AF$122)),
  0,
  (
    INDEX($T$123:$AF$125,MATCH($E$121,$S$123:$S$125,-1),MATCH(I161,$T$122:$AF$122,1))*
      ($E$121-INDEX($S$123:$S$125,MATCH($E$121,$S$123:$S$125,-1)+1))*
      (INDEX($T$122:$AF$122,1,MATCH(I161,$T$122:$AF$122,1)+1)-I161)
  +
    INDEX($T$123:$AF$125,MATCH($E$121,$S$123:$S$125,-1)+1,MATCH(I161,$T$122:$AF$122,1))*
      (INDEX($S$123:$S$125,MATCH($E$121,$S$123:$S$125,-1))-$E$121)*
      (INDEX($T$122:$AF$122,1,MATCH(I161,$T$122:$AF$122,1)+1)-I161)
  +
    INDEX($T$123:$AF$125,MATCH($E$121,$S$123:$S$125,-1),MATCH(I161,$T$122:$AF$122,1)+1)*
      ($E$121-INDEX($S$123:$S$125,MATCH($E$121,$S$123:$S$125,-1)+1))*
      (I161-INDEX($T$122:$AF$122,1,MATCH(I161,$T$122:$AF$122,1)))
  +
    INDEX($T$123:$AF$125,MATCH($E$121,$S$123:$S$125,-1)+1,MATCH(I161,$T$122:$AF$122,1)+1)*
      (INDEX($S$123:$S$125,MATCH($E$121,$S$123:$S$125,-1))-$E$121)*
      (I161-INDEX($T$122:$AF$122,1,MATCH(I161,$T$122:$AF$122,1)))
  )
  /
  (
    (INDEX($S$123:$S$125,MATCH($E$121,$S$123:$S$125,-1))-INDEX($S$123:$S$125,MATCH($E$121,$S$123:$S$125,-1)+1))*
    (INDEX($T$122:$AF$122,1,MATCH(I161,$T$122:$AF$122,1)+1)-INDEX($T$122:$AF$122,1,MATCH(I161,$T$122:$AF$122,1)))
  )
),
0)</f>
        <v>1</v>
      </c>
      <c r="J162" s="240"/>
      <c r="K162" s="239" t="s">
        <v>418</v>
      </c>
      <c r="L162" s="255"/>
      <c r="M162" s="255"/>
      <c r="N162" s="255"/>
      <c r="O162" s="255"/>
      <c r="P162" s="255"/>
      <c r="Q162" s="255"/>
      <c r="R162" s="255"/>
      <c r="S162" s="255"/>
      <c r="T162" s="255"/>
      <c r="U162" s="255"/>
      <c r="V162" s="255"/>
      <c r="W162" s="255"/>
      <c r="X162" s="255"/>
      <c r="Y162" s="255"/>
      <c r="Z162" s="255"/>
      <c r="AA162" s="255"/>
      <c r="AB162" s="255"/>
      <c r="AC162" s="255"/>
      <c r="AD162" s="255"/>
      <c r="AE162" s="255"/>
      <c r="AF162" s="255"/>
      <c r="AG162" s="255"/>
      <c r="AH162" s="255"/>
      <c r="AI162" s="255"/>
      <c r="AJ162" s="255"/>
      <c r="AK162" s="255"/>
      <c r="AL162" s="255"/>
      <c r="AM162" s="255"/>
      <c r="AN162" s="255"/>
      <c r="AO162" s="255"/>
      <c r="AP162" s="284">
        <v>12.3</v>
      </c>
      <c r="AQ162">
        <v>13.68</v>
      </c>
      <c r="AR162" s="255"/>
      <c r="AS162" s="255"/>
      <c r="AT162" s="255"/>
      <c r="AU162" s="255"/>
      <c r="AV162" s="255"/>
      <c r="AW162" s="255"/>
      <c r="AX162" s="255"/>
      <c r="AY162" s="255"/>
      <c r="AZ162" s="255"/>
      <c r="BA162" s="255"/>
      <c r="BB162" s="255"/>
      <c r="BC162" s="255"/>
      <c r="BD162" s="255"/>
      <c r="BE162" s="255"/>
      <c r="BF162" s="255"/>
      <c r="BG162" s="255"/>
      <c r="BH162" s="255"/>
      <c r="BI162" s="255"/>
      <c r="BJ162" s="255"/>
      <c r="BK162" s="255"/>
      <c r="BL162" s="255"/>
      <c r="BM162" s="255"/>
      <c r="BN162" s="255"/>
      <c r="BO162" s="255"/>
      <c r="BP162" s="255"/>
      <c r="BQ162" s="255"/>
      <c r="BR162" s="255"/>
      <c r="BS162" s="255"/>
    </row>
    <row r="163" spans="1:71" x14ac:dyDescent="0.25">
      <c r="A163" s="255"/>
      <c r="B163" s="239" t="s">
        <v>422</v>
      </c>
      <c r="C163" s="238">
        <f>TRUNC(C160*C162*C157,2)</f>
        <v>0</v>
      </c>
      <c r="D163" s="238">
        <f t="shared" ref="D163" si="40">TRUNC(D160*D162*D157,2)</f>
        <v>0</v>
      </c>
      <c r="E163" s="238">
        <f t="shared" ref="E163" si="41">TRUNC(E160*E162*E157,2)</f>
        <v>0</v>
      </c>
      <c r="F163" s="238">
        <f t="shared" ref="F163" si="42">TRUNC(F160*F162*F157,2)</f>
        <v>0</v>
      </c>
      <c r="G163" s="238">
        <f t="shared" ref="G163" si="43">TRUNC(G160*G162*G157,2)</f>
        <v>0</v>
      </c>
      <c r="H163" s="238">
        <f t="shared" ref="H163" si="44">TRUNC(H160*H162*H157,2)</f>
        <v>0</v>
      </c>
      <c r="I163" s="238">
        <f t="shared" ref="I163" si="45">TRUNC(I160*I162*I157,2)</f>
        <v>0</v>
      </c>
      <c r="K163" s="238">
        <f>C163+D163+E163+F163+G163+H163+I163</f>
        <v>0</v>
      </c>
      <c r="L163" s="255"/>
      <c r="M163" s="255"/>
      <c r="N163" s="255"/>
      <c r="O163" s="255"/>
      <c r="P163" s="255"/>
      <c r="Q163" s="255"/>
      <c r="R163" s="255"/>
      <c r="S163" s="255"/>
      <c r="T163" s="255"/>
      <c r="U163" s="255"/>
      <c r="V163" s="255"/>
      <c r="W163" s="255"/>
      <c r="X163" s="255"/>
      <c r="Y163" s="255"/>
      <c r="Z163" s="255"/>
      <c r="AA163" s="255"/>
      <c r="AB163" s="255"/>
      <c r="AC163" s="255"/>
      <c r="AD163" s="255"/>
      <c r="AE163" s="255"/>
      <c r="AF163" s="255"/>
      <c r="AG163" s="255"/>
      <c r="AH163" s="255"/>
      <c r="AI163" s="255"/>
      <c r="AJ163" s="255"/>
      <c r="AK163" s="255"/>
      <c r="AL163" s="255"/>
      <c r="AM163" s="255"/>
      <c r="AN163" s="255"/>
      <c r="AO163" s="255"/>
      <c r="AP163" s="284">
        <v>12.4</v>
      </c>
      <c r="AQ163">
        <v>13.68</v>
      </c>
      <c r="AR163" s="255"/>
      <c r="AS163" s="255"/>
      <c r="AT163" s="255"/>
      <c r="AU163" s="255"/>
      <c r="AV163" s="255"/>
      <c r="AW163" s="255"/>
      <c r="AX163" s="255"/>
      <c r="AY163" s="255"/>
      <c r="AZ163" s="255"/>
      <c r="BA163" s="255"/>
      <c r="BB163" s="255"/>
      <c r="BC163" s="255"/>
      <c r="BD163" s="255"/>
      <c r="BE163" s="255"/>
      <c r="BF163" s="255"/>
      <c r="BG163" s="255"/>
      <c r="BH163" s="255"/>
      <c r="BI163" s="255"/>
      <c r="BJ163" s="255"/>
      <c r="BK163" s="255"/>
      <c r="BL163" s="255"/>
      <c r="BM163" s="255"/>
      <c r="BN163" s="255"/>
      <c r="BO163" s="255"/>
      <c r="BP163" s="255"/>
      <c r="BQ163" s="255"/>
      <c r="BR163" s="255"/>
      <c r="BS163" s="255"/>
    </row>
    <row r="164" spans="1:71" x14ac:dyDescent="0.25">
      <c r="A164" s="255"/>
      <c r="B164" s="255"/>
      <c r="C164" s="255"/>
      <c r="D164" s="255"/>
      <c r="E164" s="255"/>
      <c r="F164" s="255"/>
      <c r="G164" s="255"/>
      <c r="H164" s="255"/>
      <c r="I164" s="255"/>
      <c r="J164" s="255"/>
      <c r="K164" s="255"/>
      <c r="L164" s="255"/>
      <c r="M164" s="255"/>
      <c r="N164" s="255"/>
      <c r="O164" s="255"/>
      <c r="P164" s="255"/>
      <c r="Q164" s="255"/>
      <c r="R164" s="255"/>
      <c r="S164" s="255"/>
      <c r="T164" s="255"/>
      <c r="U164" s="255"/>
      <c r="V164" s="255"/>
      <c r="W164" s="255"/>
      <c r="X164" s="255"/>
      <c r="Y164" s="255"/>
      <c r="Z164" s="255"/>
      <c r="AA164" s="255"/>
      <c r="AB164" s="255"/>
      <c r="AC164" s="255"/>
      <c r="AD164" s="255"/>
      <c r="AE164" s="255"/>
      <c r="AF164" s="255"/>
      <c r="AG164" s="255"/>
      <c r="AH164" s="255"/>
      <c r="AI164" s="255"/>
      <c r="AJ164" s="255"/>
      <c r="AK164" s="255"/>
      <c r="AL164" s="255"/>
      <c r="AM164" s="255"/>
      <c r="AN164" s="255"/>
      <c r="AO164" s="255"/>
      <c r="AP164" s="284">
        <v>12.5</v>
      </c>
      <c r="AQ164">
        <v>13.68</v>
      </c>
      <c r="AR164" s="255"/>
      <c r="AS164" s="255"/>
      <c r="AT164" s="255"/>
      <c r="AU164" s="255"/>
      <c r="AV164" s="255"/>
      <c r="AW164" s="255"/>
      <c r="AX164" s="255"/>
      <c r="AY164" s="255"/>
      <c r="AZ164" s="255"/>
      <c r="BA164" s="255"/>
      <c r="BB164" s="255"/>
      <c r="BC164" s="255"/>
      <c r="BD164" s="255"/>
      <c r="BE164" s="255"/>
      <c r="BF164" s="255"/>
      <c r="BG164" s="255"/>
      <c r="BH164" s="255"/>
      <c r="BI164" s="255"/>
      <c r="BJ164" s="255"/>
      <c r="BK164" s="255"/>
      <c r="BL164" s="255"/>
      <c r="BM164" s="255"/>
      <c r="BN164" s="255"/>
      <c r="BO164" s="255"/>
      <c r="BP164" s="255"/>
      <c r="BQ164" s="255"/>
      <c r="BR164" s="255"/>
      <c r="BS164" s="255"/>
    </row>
    <row r="165" spans="1:71" x14ac:dyDescent="0.25">
      <c r="A165" s="255"/>
      <c r="B165" s="239" t="s">
        <v>426</v>
      </c>
      <c r="C165" s="240">
        <v>1</v>
      </c>
      <c r="D165" s="240">
        <v>2</v>
      </c>
      <c r="E165" s="240">
        <v>3</v>
      </c>
      <c r="F165" s="240">
        <v>4</v>
      </c>
      <c r="G165" s="240">
        <v>5</v>
      </c>
      <c r="H165" s="240">
        <v>6</v>
      </c>
      <c r="I165" s="240">
        <v>7</v>
      </c>
      <c r="J165" s="255"/>
      <c r="K165" s="255"/>
      <c r="L165" s="255"/>
      <c r="M165" s="255"/>
      <c r="N165" s="255"/>
      <c r="O165" s="255"/>
      <c r="P165" s="255"/>
      <c r="Q165" s="255"/>
      <c r="R165" s="255"/>
      <c r="S165" s="255"/>
      <c r="T165" s="255"/>
      <c r="U165" s="255"/>
      <c r="V165" s="255"/>
      <c r="W165" s="255"/>
      <c r="X165" s="255"/>
      <c r="Y165" s="255"/>
      <c r="Z165" s="255"/>
      <c r="AA165" s="255"/>
      <c r="AB165" s="255"/>
      <c r="AC165" s="255"/>
      <c r="AD165" s="255"/>
      <c r="AE165" s="255"/>
      <c r="AF165" s="255"/>
      <c r="AG165" s="255"/>
      <c r="AH165" s="255"/>
      <c r="AI165" s="255"/>
      <c r="AJ165" s="255"/>
      <c r="AK165" s="255"/>
      <c r="AL165" s="255"/>
      <c r="AM165" s="255"/>
      <c r="AN165" s="255"/>
      <c r="AO165" s="255"/>
      <c r="AP165" s="284">
        <v>12.6</v>
      </c>
      <c r="AQ165">
        <v>13.68</v>
      </c>
      <c r="AR165" s="255"/>
      <c r="AS165" s="255"/>
      <c r="AT165" s="255"/>
      <c r="AU165" s="255"/>
      <c r="AV165" s="255"/>
      <c r="AW165" s="255"/>
      <c r="AX165" s="255"/>
      <c r="AY165" s="255"/>
      <c r="AZ165" s="255"/>
      <c r="BA165" s="255"/>
      <c r="BB165" s="255"/>
      <c r="BC165" s="255"/>
      <c r="BD165" s="255"/>
      <c r="BE165" s="255"/>
      <c r="BF165" s="255"/>
      <c r="BG165" s="255"/>
      <c r="BH165" s="255"/>
      <c r="BI165" s="255"/>
      <c r="BJ165" s="255"/>
      <c r="BK165" s="255"/>
      <c r="BL165" s="255"/>
      <c r="BM165" s="255"/>
      <c r="BN165" s="255"/>
      <c r="BO165" s="255"/>
      <c r="BP165" s="255"/>
      <c r="BQ165" s="255"/>
      <c r="BR165" s="255"/>
      <c r="BS165" s="255"/>
    </row>
    <row r="166" spans="1:71" x14ac:dyDescent="0.25">
      <c r="A166" s="255"/>
      <c r="B166" s="239" t="s">
        <v>419</v>
      </c>
      <c r="C166" s="315"/>
      <c r="D166" s="315"/>
      <c r="E166" s="315"/>
      <c r="F166" s="315"/>
      <c r="G166" s="315"/>
      <c r="H166" s="315"/>
      <c r="I166" s="315"/>
      <c r="J166" s="255"/>
      <c r="K166" s="255"/>
      <c r="L166" s="255"/>
      <c r="M166" s="255"/>
      <c r="N166" s="255"/>
      <c r="O166" s="255"/>
      <c r="P166" s="255"/>
      <c r="Q166" s="255"/>
      <c r="R166" s="255"/>
      <c r="S166" s="255"/>
      <c r="T166" s="255"/>
      <c r="U166" s="255"/>
      <c r="V166" s="255"/>
      <c r="W166" s="255"/>
      <c r="X166" s="255"/>
      <c r="Y166" s="255"/>
      <c r="Z166" s="255"/>
      <c r="AA166" s="255"/>
      <c r="AB166" s="255"/>
      <c r="AC166" s="255"/>
      <c r="AD166" s="255"/>
      <c r="AE166" s="255"/>
      <c r="AF166" s="255"/>
      <c r="AG166" s="255"/>
      <c r="AH166" s="255"/>
      <c r="AI166" s="255"/>
      <c r="AJ166" s="255"/>
      <c r="AK166" s="255"/>
      <c r="AL166" s="255"/>
      <c r="AM166" s="255"/>
      <c r="AN166" s="255"/>
      <c r="AO166" s="255"/>
      <c r="AP166" s="284">
        <v>12.7</v>
      </c>
      <c r="AQ166">
        <v>13.68</v>
      </c>
      <c r="AR166" s="255"/>
      <c r="AS166" s="255"/>
      <c r="AT166" s="255"/>
      <c r="AU166" s="255"/>
      <c r="AV166" s="255"/>
      <c r="AW166" s="255"/>
      <c r="AX166" s="255"/>
      <c r="AY166" s="255"/>
      <c r="AZ166" s="255"/>
      <c r="BA166" s="255"/>
      <c r="BB166" s="255"/>
      <c r="BC166" s="255"/>
      <c r="BD166" s="255"/>
      <c r="BE166" s="255"/>
      <c r="BF166" s="255"/>
      <c r="BG166" s="255"/>
      <c r="BH166" s="255"/>
      <c r="BI166" s="255"/>
      <c r="BJ166" s="255"/>
      <c r="BK166" s="255"/>
      <c r="BL166" s="255"/>
      <c r="BM166" s="255"/>
      <c r="BN166" s="255"/>
      <c r="BO166" s="255"/>
      <c r="BP166" s="255"/>
      <c r="BQ166" s="255"/>
      <c r="BR166" s="255"/>
      <c r="BS166" s="255"/>
    </row>
    <row r="167" spans="1:71" x14ac:dyDescent="0.25">
      <c r="A167" s="255"/>
      <c r="B167" s="239" t="s">
        <v>420</v>
      </c>
      <c r="C167" s="335">
        <v>0</v>
      </c>
      <c r="D167" s="335">
        <v>0</v>
      </c>
      <c r="E167" s="335">
        <v>0</v>
      </c>
      <c r="F167" s="335">
        <v>0</v>
      </c>
      <c r="G167" s="335">
        <v>0</v>
      </c>
      <c r="H167" s="335">
        <v>0</v>
      </c>
      <c r="I167" s="335">
        <v>0</v>
      </c>
      <c r="J167" s="255"/>
      <c r="K167" s="255"/>
      <c r="L167" s="255"/>
      <c r="M167" s="255"/>
      <c r="N167" s="255"/>
      <c r="O167" s="255"/>
      <c r="P167" s="255"/>
      <c r="Q167" s="255"/>
      <c r="R167" s="255"/>
      <c r="S167" s="255"/>
      <c r="T167" s="255"/>
      <c r="U167" s="255"/>
      <c r="V167" s="255"/>
      <c r="W167" s="255"/>
      <c r="X167" s="255"/>
      <c r="Y167" s="255"/>
      <c r="Z167" s="255"/>
      <c r="AA167" s="255"/>
      <c r="AB167" s="255"/>
      <c r="AC167" s="255"/>
      <c r="AD167" s="255"/>
      <c r="AE167" s="255"/>
      <c r="AF167" s="255"/>
      <c r="AG167" s="255"/>
      <c r="AH167" s="255"/>
      <c r="AI167" s="255"/>
      <c r="AJ167" s="255"/>
      <c r="AK167" s="255"/>
      <c r="AL167" s="255"/>
      <c r="AM167" s="255"/>
      <c r="AN167" s="255"/>
      <c r="AO167" s="255"/>
      <c r="AP167" s="284">
        <v>12.8</v>
      </c>
      <c r="AQ167">
        <v>13.69</v>
      </c>
      <c r="AR167" s="255"/>
      <c r="AS167" s="255"/>
      <c r="AT167" s="255"/>
      <c r="AU167" s="255"/>
      <c r="AV167" s="255"/>
      <c r="AW167" s="255"/>
      <c r="AX167" s="255"/>
      <c r="AY167" s="255"/>
      <c r="AZ167" s="255"/>
      <c r="BA167" s="255"/>
      <c r="BB167" s="255"/>
      <c r="BC167" s="255"/>
      <c r="BD167" s="255"/>
      <c r="BE167" s="255"/>
      <c r="BF167" s="255"/>
      <c r="BG167" s="255"/>
      <c r="BH167" s="255"/>
      <c r="BI167" s="255"/>
      <c r="BJ167" s="255"/>
      <c r="BK167" s="255"/>
      <c r="BL167" s="255"/>
      <c r="BM167" s="255"/>
      <c r="BN167" s="255"/>
      <c r="BO167" s="255"/>
      <c r="BP167" s="255"/>
      <c r="BQ167" s="255"/>
      <c r="BR167" s="255"/>
      <c r="BS167" s="255"/>
    </row>
    <row r="168" spans="1:71" x14ac:dyDescent="0.25">
      <c r="A168" s="255"/>
      <c r="B168" s="239" t="s">
        <v>194</v>
      </c>
      <c r="C168" s="272">
        <v>1.5</v>
      </c>
      <c r="D168" s="272">
        <v>1.5</v>
      </c>
      <c r="E168" s="272">
        <v>1.5</v>
      </c>
      <c r="F168" s="272">
        <v>1.5</v>
      </c>
      <c r="G168" s="272">
        <v>1.5</v>
      </c>
      <c r="H168" s="272">
        <v>1.5</v>
      </c>
      <c r="I168" s="272">
        <v>1.5</v>
      </c>
      <c r="J168" s="255"/>
      <c r="K168" s="255"/>
      <c r="L168" s="255"/>
      <c r="M168" s="255"/>
      <c r="N168" s="255"/>
      <c r="O168" s="255"/>
      <c r="P168" s="255"/>
      <c r="Q168" s="255"/>
      <c r="R168" s="255"/>
      <c r="S168" s="255"/>
      <c r="T168" s="255"/>
      <c r="U168" s="255"/>
      <c r="V168" s="255"/>
      <c r="W168" s="255"/>
      <c r="X168" s="255"/>
      <c r="Y168" s="255"/>
      <c r="Z168" s="255"/>
      <c r="AA168" s="255"/>
      <c r="AB168" s="255"/>
      <c r="AC168" s="255"/>
      <c r="AD168" s="255"/>
      <c r="AE168" s="255"/>
      <c r="AF168" s="255"/>
      <c r="AG168" s="255"/>
      <c r="AH168" s="255"/>
      <c r="AI168" s="255"/>
      <c r="AJ168" s="255"/>
      <c r="AK168" s="255"/>
      <c r="AL168" s="255"/>
      <c r="AM168" s="255"/>
      <c r="AN168" s="255"/>
      <c r="AO168" s="255"/>
      <c r="AP168" s="284">
        <v>12.9</v>
      </c>
      <c r="AQ168">
        <v>13.69</v>
      </c>
      <c r="AR168" s="255"/>
      <c r="AS168" s="255"/>
      <c r="AT168" s="255"/>
      <c r="AU168" s="255"/>
      <c r="AV168" s="255"/>
      <c r="AW168" s="255"/>
      <c r="AX168" s="255"/>
      <c r="AY168" s="255"/>
      <c r="AZ168" s="255"/>
      <c r="BA168" s="255"/>
      <c r="BB168" s="255"/>
      <c r="BC168" s="255"/>
      <c r="BD168" s="255"/>
      <c r="BE168" s="255"/>
      <c r="BF168" s="255"/>
      <c r="BG168" s="255"/>
      <c r="BH168" s="255"/>
      <c r="BI168" s="255"/>
      <c r="BJ168" s="255"/>
      <c r="BK168" s="255"/>
      <c r="BL168" s="255"/>
      <c r="BM168" s="255"/>
      <c r="BN168" s="255"/>
      <c r="BO168" s="255"/>
      <c r="BP168" s="255"/>
      <c r="BQ168" s="255"/>
      <c r="BR168" s="255"/>
      <c r="BS168" s="255"/>
    </row>
    <row r="169" spans="1:71" x14ac:dyDescent="0.25">
      <c r="A169" s="255"/>
      <c r="B169" s="239" t="s">
        <v>209</v>
      </c>
      <c r="C169" s="238">
        <f>TRUNC(C167/C168,2)</f>
        <v>0</v>
      </c>
      <c r="D169" s="238">
        <f>TRUNC(D167/D168,2)</f>
        <v>0</v>
      </c>
      <c r="E169" s="238">
        <f t="shared" ref="E169" si="46">TRUNC(E167/E168,2)</f>
        <v>0</v>
      </c>
      <c r="F169" s="238">
        <f t="shared" ref="F169" si="47">TRUNC(F167/F168,2)</f>
        <v>0</v>
      </c>
      <c r="G169" s="238">
        <f t="shared" ref="G169" si="48">TRUNC(G167/G168,2)</f>
        <v>0</v>
      </c>
      <c r="H169" s="238">
        <f t="shared" ref="H169" si="49">TRUNC(H167/H168,2)</f>
        <v>0</v>
      </c>
      <c r="I169" s="238">
        <f t="shared" ref="I169" si="50">TRUNC(I167/I168,2)</f>
        <v>0</v>
      </c>
      <c r="J169" s="255"/>
      <c r="K169" s="255"/>
      <c r="L169" s="255"/>
      <c r="M169" s="255"/>
      <c r="N169" s="255"/>
      <c r="O169" s="255"/>
      <c r="P169" s="255"/>
      <c r="Q169" s="255"/>
      <c r="R169" s="255"/>
      <c r="S169" s="255"/>
      <c r="T169" s="255"/>
      <c r="U169" s="255"/>
      <c r="V169" s="255"/>
      <c r="W169" s="255"/>
      <c r="X169" s="255"/>
      <c r="Y169" s="255"/>
      <c r="Z169" s="255"/>
      <c r="AA169" s="255"/>
      <c r="AB169" s="255"/>
      <c r="AC169" s="255"/>
      <c r="AD169" s="255"/>
      <c r="AE169" s="255"/>
      <c r="AF169" s="255"/>
      <c r="AG169" s="255"/>
      <c r="AH169" s="255"/>
      <c r="AI169" s="255"/>
      <c r="AJ169" s="255"/>
      <c r="AK169" s="255"/>
      <c r="AL169" s="255"/>
      <c r="AM169" s="255"/>
      <c r="AN169" s="255"/>
      <c r="AO169" s="255"/>
      <c r="AP169" s="284">
        <v>13</v>
      </c>
      <c r="AQ169">
        <v>13.69</v>
      </c>
      <c r="AR169" s="255"/>
      <c r="AS169" s="255"/>
      <c r="AT169" s="255"/>
      <c r="AU169" s="255"/>
      <c r="AV169" s="255"/>
      <c r="AW169" s="255"/>
      <c r="AX169" s="255"/>
      <c r="AY169" s="255"/>
      <c r="AZ169" s="255"/>
      <c r="BA169" s="255"/>
      <c r="BB169" s="255"/>
      <c r="BC169" s="255"/>
      <c r="BD169" s="255"/>
      <c r="BE169" s="255"/>
      <c r="BF169" s="255"/>
      <c r="BG169" s="255"/>
      <c r="BH169" s="255"/>
      <c r="BI169" s="255"/>
      <c r="BJ169" s="255"/>
      <c r="BK169" s="255"/>
      <c r="BL169" s="255"/>
      <c r="BM169" s="255"/>
      <c r="BN169" s="255"/>
      <c r="BO169" s="255"/>
      <c r="BP169" s="255"/>
      <c r="BQ169" s="255"/>
      <c r="BR169" s="255"/>
      <c r="BS169" s="255"/>
    </row>
    <row r="170" spans="1:71" x14ac:dyDescent="0.25">
      <c r="A170" s="255"/>
      <c r="B170" s="237" t="s">
        <v>211</v>
      </c>
      <c r="C170" s="315"/>
      <c r="D170" s="315"/>
      <c r="E170" s="315"/>
      <c r="F170" s="315"/>
      <c r="G170" s="315"/>
      <c r="H170" s="315"/>
      <c r="I170" s="315"/>
      <c r="J170" s="255"/>
      <c r="K170" s="255"/>
      <c r="L170" s="255"/>
      <c r="M170" s="255"/>
      <c r="N170" s="255"/>
      <c r="O170" s="255"/>
      <c r="P170" s="255"/>
      <c r="Q170" s="255"/>
      <c r="R170" s="255"/>
      <c r="S170" s="255"/>
      <c r="T170" s="255"/>
      <c r="U170" s="255"/>
      <c r="V170" s="255"/>
      <c r="W170" s="255"/>
      <c r="X170" s="255"/>
      <c r="Y170" s="255"/>
      <c r="Z170" s="255"/>
      <c r="AA170" s="255"/>
      <c r="AB170" s="255"/>
      <c r="AC170" s="255"/>
      <c r="AD170" s="255"/>
      <c r="AE170" s="255"/>
      <c r="AF170" s="255"/>
      <c r="AG170" s="255"/>
      <c r="AH170" s="255"/>
      <c r="AI170" s="255"/>
      <c r="AJ170" s="255"/>
      <c r="AK170" s="255"/>
      <c r="AL170" s="255"/>
      <c r="AM170" s="255"/>
      <c r="AN170" s="255"/>
      <c r="AO170" s="255"/>
      <c r="AP170" s="284">
        <v>13.1</v>
      </c>
      <c r="AQ170">
        <v>13.7</v>
      </c>
      <c r="AR170" s="255"/>
      <c r="AS170" s="255"/>
      <c r="AT170" s="255"/>
      <c r="AU170" s="255"/>
      <c r="AV170" s="255"/>
      <c r="AW170" s="255"/>
      <c r="AX170" s="255"/>
      <c r="AY170" s="255"/>
      <c r="AZ170" s="255"/>
      <c r="BA170" s="255"/>
      <c r="BB170" s="255"/>
      <c r="BC170" s="255"/>
      <c r="BD170" s="255"/>
      <c r="BE170" s="255"/>
      <c r="BF170" s="255"/>
      <c r="BG170" s="255"/>
      <c r="BH170" s="255"/>
      <c r="BI170" s="255"/>
      <c r="BJ170" s="255"/>
      <c r="BK170" s="255"/>
      <c r="BL170" s="255"/>
      <c r="BM170" s="255"/>
      <c r="BN170" s="255"/>
      <c r="BO170" s="255"/>
      <c r="BP170" s="255"/>
      <c r="BQ170" s="255"/>
      <c r="BR170" s="255"/>
      <c r="BS170" s="255"/>
    </row>
    <row r="171" spans="1:71" x14ac:dyDescent="0.25">
      <c r="A171" s="255"/>
      <c r="B171" s="239" t="s">
        <v>421</v>
      </c>
      <c r="C171" s="238" cm="1">
        <f t="array" ref="C171">IFERROR(
IF(
  OR($E$121&lt;MIN($S$123:$S$125),$E$121&gt;MAX($S$123:$S$125),C170&lt;MIN($T$122:$AF$122),C170&gt;MAX($T$122:$AF$122)),
  0,
  (
    INDEX($T$123:$AF$125,MATCH($E$121,$S$123:$S$125,-1),MATCH(C170,$T$122:$AF$122,1))*
      ($E$121-INDEX($S$123:$S$125,MATCH($E$121,$S$123:$S$125,-1)+1))*
      (INDEX($T$122:$AF$122,1,MATCH(C170,$T$122:$AF$122,1)+1)-C170)
  +
    INDEX($T$123:$AF$125,MATCH($E$121,$S$123:$S$125,-1)+1,MATCH(C170,$T$122:$AF$122,1))*
      (INDEX($S$123:$S$125,MATCH($E$121,$S$123:$S$125,-1))-$E$121)*
      (INDEX($T$122:$AF$122,1,MATCH(C170,$T$122:$AF$122,1)+1)-C170)
  +
    INDEX($T$123:$AF$125,MATCH($E$121,$S$123:$S$125,-1),MATCH(C170,$T$122:$AF$122,1)+1)*
      ($E$121-INDEX($S$123:$S$125,MATCH($E$121,$S$123:$S$125,-1)+1))*
      (C170-INDEX($T$122:$AF$122,1,MATCH(C170,$T$122:$AF$122,1)))
  +
    INDEX($T$123:$AF$125,MATCH($E$121,$S$123:$S$125,-1)+1,MATCH(C170,$T$122:$AF$122,1)+1)*
      (INDEX($S$123:$S$125,MATCH($E$121,$S$123:$S$125,-1))-$E$121)*
      (C170-INDEX($T$122:$AF$122,1,MATCH(C170,$T$122:$AF$122,1)))
  )
  /
  (
    (INDEX($S$123:$S$125,MATCH($E$121,$S$123:$S$125,-1))-INDEX($S$123:$S$125,MATCH($E$121,$S$123:$S$125,-1)+1))*
    (INDEX($T$122:$AF$122,1,MATCH(C170,$T$122:$AF$122,1)+1)-INDEX($T$122:$AF$122,1,MATCH(C170,$T$122:$AF$122,1)))
  )
),
0)</f>
        <v>1</v>
      </c>
      <c r="D171" s="238" cm="1">
        <f t="array" ref="D171">IFERROR(
IF(
  OR($E$121&lt;MIN($S$123:$S$125),$E$121&gt;MAX($S$123:$S$125),D170&lt;MIN($T$122:$AF$122),D170&gt;MAX($T$122:$AF$122)),
  0,
  (
    INDEX($T$123:$AF$125,MATCH($E$121,$S$123:$S$125,-1),MATCH(D170,$T$122:$AF$122,1))*
      ($E$121-INDEX($S$123:$S$125,MATCH($E$121,$S$123:$S$125,-1)+1))*
      (INDEX($T$122:$AF$122,1,MATCH(D170,$T$122:$AF$122,1)+1)-D170)
  +
    INDEX($T$123:$AF$125,MATCH($E$121,$S$123:$S$125,-1)+1,MATCH(D170,$T$122:$AF$122,1))*
      (INDEX($S$123:$S$125,MATCH($E$121,$S$123:$S$125,-1))-$E$121)*
      (INDEX($T$122:$AF$122,1,MATCH(D170,$T$122:$AF$122,1)+1)-D170)
  +
    INDEX($T$123:$AF$125,MATCH($E$121,$S$123:$S$125,-1),MATCH(D170,$T$122:$AF$122,1)+1)*
      ($E$121-INDEX($S$123:$S$125,MATCH($E$121,$S$123:$S$125,-1)+1))*
      (D170-INDEX($T$122:$AF$122,1,MATCH(D170,$T$122:$AF$122,1)))
  +
    INDEX($T$123:$AF$125,MATCH($E$121,$S$123:$S$125,-1)+1,MATCH(D170,$T$122:$AF$122,1)+1)*
      (INDEX($S$123:$S$125,MATCH($E$121,$S$123:$S$125,-1))-$E$121)*
      (D170-INDEX($T$122:$AF$122,1,MATCH(D170,$T$122:$AF$122,1)))
  )
  /
  (
    (INDEX($S$123:$S$125,MATCH($E$121,$S$123:$S$125,-1))-INDEX($S$123:$S$125,MATCH($E$121,$S$123:$S$125,-1)+1))*
    (INDEX($T$122:$AF$122,1,MATCH(D170,$T$122:$AF$122,1)+1)-INDEX($T$122:$AF$122,1,MATCH(D170,$T$122:$AF$122,1)))
  )
),
0)</f>
        <v>1</v>
      </c>
      <c r="E171" s="238" cm="1">
        <f t="array" ref="E171">IFERROR(
IF(
  OR($E$121&lt;MIN($S$123:$S$125),$E$121&gt;MAX($S$123:$S$125),E170&lt;MIN($T$122:$AF$122),E170&gt;MAX($T$122:$AF$122)),
  0,
  (
    INDEX($T$123:$AF$125,MATCH($E$121,$S$123:$S$125,-1),MATCH(E170,$T$122:$AF$122,1))*
      ($E$121-INDEX($S$123:$S$125,MATCH($E$121,$S$123:$S$125,-1)+1))*
      (INDEX($T$122:$AF$122,1,MATCH(E170,$T$122:$AF$122,1)+1)-E170)
  +
    INDEX($T$123:$AF$125,MATCH($E$121,$S$123:$S$125,-1)+1,MATCH(E170,$T$122:$AF$122,1))*
      (INDEX($S$123:$S$125,MATCH($E$121,$S$123:$S$125,-1))-$E$121)*
      (INDEX($T$122:$AF$122,1,MATCH(E170,$T$122:$AF$122,1)+1)-E170)
  +
    INDEX($T$123:$AF$125,MATCH($E$121,$S$123:$S$125,-1),MATCH(E170,$T$122:$AF$122,1)+1)*
      ($E$121-INDEX($S$123:$S$125,MATCH($E$121,$S$123:$S$125,-1)+1))*
      (E170-INDEX($T$122:$AF$122,1,MATCH(E170,$T$122:$AF$122,1)))
  +
    INDEX($T$123:$AF$125,MATCH($E$121,$S$123:$S$125,-1)+1,MATCH(E170,$T$122:$AF$122,1)+1)*
      (INDEX($S$123:$S$125,MATCH($E$121,$S$123:$S$125,-1))-$E$121)*
      (E170-INDEX($T$122:$AF$122,1,MATCH(E170,$T$122:$AF$122,1)))
  )
  /
  (
    (INDEX($S$123:$S$125,MATCH($E$121,$S$123:$S$125,-1))-INDEX($S$123:$S$125,MATCH($E$121,$S$123:$S$125,-1)+1))*
    (INDEX($T$122:$AF$122,1,MATCH(E170,$T$122:$AF$122,1)+1)-INDEX($T$122:$AF$122,1,MATCH(E170,$T$122:$AF$122,1)))
  )
),
0)</f>
        <v>1</v>
      </c>
      <c r="F171" s="238" cm="1">
        <f t="array" ref="F171">IFERROR(
IF(
  OR($E$121&lt;MIN($S$123:$S$125),$E$121&gt;MAX($S$123:$S$125),F170&lt;MIN($T$122:$AF$122),F170&gt;MAX($T$122:$AF$122)),
  0,
  (
    INDEX($T$123:$AF$125,MATCH($E$121,$S$123:$S$125,-1),MATCH(F170,$T$122:$AF$122,1))*
      ($E$121-INDEX($S$123:$S$125,MATCH($E$121,$S$123:$S$125,-1)+1))*
      (INDEX($T$122:$AF$122,1,MATCH(F170,$T$122:$AF$122,1)+1)-F170)
  +
    INDEX($T$123:$AF$125,MATCH($E$121,$S$123:$S$125,-1)+1,MATCH(F170,$T$122:$AF$122,1))*
      (INDEX($S$123:$S$125,MATCH($E$121,$S$123:$S$125,-1))-$E$121)*
      (INDEX($T$122:$AF$122,1,MATCH(F170,$T$122:$AF$122,1)+1)-F170)
  +
    INDEX($T$123:$AF$125,MATCH($E$121,$S$123:$S$125,-1),MATCH(F170,$T$122:$AF$122,1)+1)*
      ($E$121-INDEX($S$123:$S$125,MATCH($E$121,$S$123:$S$125,-1)+1))*
      (F170-INDEX($T$122:$AF$122,1,MATCH(F170,$T$122:$AF$122,1)))
  +
    INDEX($T$123:$AF$125,MATCH($E$121,$S$123:$S$125,-1)+1,MATCH(F170,$T$122:$AF$122,1)+1)*
      (INDEX($S$123:$S$125,MATCH($E$121,$S$123:$S$125,-1))-$E$121)*
      (F170-INDEX($T$122:$AF$122,1,MATCH(F170,$T$122:$AF$122,1)))
  )
  /
  (
    (INDEX($S$123:$S$125,MATCH($E$121,$S$123:$S$125,-1))-INDEX($S$123:$S$125,MATCH($E$121,$S$123:$S$125,-1)+1))*
    (INDEX($T$122:$AF$122,1,MATCH(F170,$T$122:$AF$122,1)+1)-INDEX($T$122:$AF$122,1,MATCH(F170,$T$122:$AF$122,1)))
  )
),
0)</f>
        <v>1</v>
      </c>
      <c r="G171" s="238" cm="1">
        <f t="array" ref="G171">IFERROR(
IF(
  OR($E$121&lt;MIN($S$123:$S$125),$E$121&gt;MAX($S$123:$S$125),G170&lt;MIN($T$122:$AF$122),G170&gt;MAX($T$122:$AF$122)),
  0,
  (
    INDEX($T$123:$AF$125,MATCH($E$121,$S$123:$S$125,-1),MATCH(G170,$T$122:$AF$122,1))*
      ($E$121-INDEX($S$123:$S$125,MATCH($E$121,$S$123:$S$125,-1)+1))*
      (INDEX($T$122:$AF$122,1,MATCH(G170,$T$122:$AF$122,1)+1)-G170)
  +
    INDEX($T$123:$AF$125,MATCH($E$121,$S$123:$S$125,-1)+1,MATCH(G170,$T$122:$AF$122,1))*
      (INDEX($S$123:$S$125,MATCH($E$121,$S$123:$S$125,-1))-$E$121)*
      (INDEX($T$122:$AF$122,1,MATCH(G170,$T$122:$AF$122,1)+1)-G170)
  +
    INDEX($T$123:$AF$125,MATCH($E$121,$S$123:$S$125,-1),MATCH(G170,$T$122:$AF$122,1)+1)*
      ($E$121-INDEX($S$123:$S$125,MATCH($E$121,$S$123:$S$125,-1)+1))*
      (G170-INDEX($T$122:$AF$122,1,MATCH(G170,$T$122:$AF$122,1)))
  +
    INDEX($T$123:$AF$125,MATCH($E$121,$S$123:$S$125,-1)+1,MATCH(G170,$T$122:$AF$122,1)+1)*
      (INDEX($S$123:$S$125,MATCH($E$121,$S$123:$S$125,-1))-$E$121)*
      (G170-INDEX($T$122:$AF$122,1,MATCH(G170,$T$122:$AF$122,1)))
  )
  /
  (
    (INDEX($S$123:$S$125,MATCH($E$121,$S$123:$S$125,-1))-INDEX($S$123:$S$125,MATCH($E$121,$S$123:$S$125,-1)+1))*
    (INDEX($T$122:$AF$122,1,MATCH(G170,$T$122:$AF$122,1)+1)-INDEX($T$122:$AF$122,1,MATCH(G170,$T$122:$AF$122,1)))
  )
),
0)</f>
        <v>1</v>
      </c>
      <c r="H171" s="238" cm="1">
        <f t="array" ref="H171">IFERROR(
IF(
  OR($E$121&lt;MIN($S$123:$S$125),$E$121&gt;MAX($S$123:$S$125),H170&lt;MIN($T$122:$AF$122),H170&gt;MAX($T$122:$AF$122)),
  0,
  (
    INDEX($T$123:$AF$125,MATCH($E$121,$S$123:$S$125,-1),MATCH(H170,$T$122:$AF$122,1))*
      ($E$121-INDEX($S$123:$S$125,MATCH($E$121,$S$123:$S$125,-1)+1))*
      (INDEX($T$122:$AF$122,1,MATCH(H170,$T$122:$AF$122,1)+1)-H170)
  +
    INDEX($T$123:$AF$125,MATCH($E$121,$S$123:$S$125,-1)+1,MATCH(H170,$T$122:$AF$122,1))*
      (INDEX($S$123:$S$125,MATCH($E$121,$S$123:$S$125,-1))-$E$121)*
      (INDEX($T$122:$AF$122,1,MATCH(H170,$T$122:$AF$122,1)+1)-H170)
  +
    INDEX($T$123:$AF$125,MATCH($E$121,$S$123:$S$125,-1),MATCH(H170,$T$122:$AF$122,1)+1)*
      ($E$121-INDEX($S$123:$S$125,MATCH($E$121,$S$123:$S$125,-1)+1))*
      (H170-INDEX($T$122:$AF$122,1,MATCH(H170,$T$122:$AF$122,1)))
  +
    INDEX($T$123:$AF$125,MATCH($E$121,$S$123:$S$125,-1)+1,MATCH(H170,$T$122:$AF$122,1)+1)*
      (INDEX($S$123:$S$125,MATCH($E$121,$S$123:$S$125,-1))-$E$121)*
      (H170-INDEX($T$122:$AF$122,1,MATCH(H170,$T$122:$AF$122,1)))
  )
  /
  (
    (INDEX($S$123:$S$125,MATCH($E$121,$S$123:$S$125,-1))-INDEX($S$123:$S$125,MATCH($E$121,$S$123:$S$125,-1)+1))*
    (INDEX($T$122:$AF$122,1,MATCH(H170,$T$122:$AF$122,1)+1)-INDEX($T$122:$AF$122,1,MATCH(H170,$T$122:$AF$122,1)))
  )
),
0)</f>
        <v>1</v>
      </c>
      <c r="I171" s="238" cm="1">
        <f t="array" ref="I171">IFERROR(
IF(
  OR($E$121&lt;MIN($S$123:$S$125),$E$121&gt;MAX($S$123:$S$125),I170&lt;MIN($T$122:$AF$122),I170&gt;MAX($T$122:$AF$122)),
  0,
  (
    INDEX($T$123:$AF$125,MATCH($E$121,$S$123:$S$125,-1),MATCH(I170,$T$122:$AF$122,1))*
      ($E$121-INDEX($S$123:$S$125,MATCH($E$121,$S$123:$S$125,-1)+1))*
      (INDEX($T$122:$AF$122,1,MATCH(I170,$T$122:$AF$122,1)+1)-I170)
  +
    INDEX($T$123:$AF$125,MATCH($E$121,$S$123:$S$125,-1)+1,MATCH(I170,$T$122:$AF$122,1))*
      (INDEX($S$123:$S$125,MATCH($E$121,$S$123:$S$125,-1))-$E$121)*
      (INDEX($T$122:$AF$122,1,MATCH(I170,$T$122:$AF$122,1)+1)-I170)
  +
    INDEX($T$123:$AF$125,MATCH($E$121,$S$123:$S$125,-1),MATCH(I170,$T$122:$AF$122,1)+1)*
      ($E$121-INDEX($S$123:$S$125,MATCH($E$121,$S$123:$S$125,-1)+1))*
      (I170-INDEX($T$122:$AF$122,1,MATCH(I170,$T$122:$AF$122,1)))
  +
    INDEX($T$123:$AF$125,MATCH($E$121,$S$123:$S$125,-1)+1,MATCH(I170,$T$122:$AF$122,1)+1)*
      (INDEX($S$123:$S$125,MATCH($E$121,$S$123:$S$125,-1))-$E$121)*
      (I170-INDEX($T$122:$AF$122,1,MATCH(I170,$T$122:$AF$122,1)))
  )
  /
  (
    (INDEX($S$123:$S$125,MATCH($E$121,$S$123:$S$125,-1))-INDEX($S$123:$S$125,MATCH($E$121,$S$123:$S$125,-1)+1))*
    (INDEX($T$122:$AF$122,1,MATCH(I170,$T$122:$AF$122,1)+1)-INDEX($T$122:$AF$122,1,MATCH(I170,$T$122:$AF$122,1)))
  )
),
0)</f>
        <v>1</v>
      </c>
      <c r="J171" s="240"/>
      <c r="K171" s="239" t="s">
        <v>418</v>
      </c>
      <c r="L171" s="255"/>
      <c r="M171" s="255"/>
      <c r="N171" s="255"/>
      <c r="O171" s="255"/>
      <c r="P171" s="255"/>
      <c r="Q171" s="255"/>
      <c r="R171" s="255"/>
      <c r="S171" s="255"/>
      <c r="T171" s="255"/>
      <c r="U171" s="255"/>
      <c r="V171" s="255"/>
      <c r="W171" s="255"/>
      <c r="X171" s="255"/>
      <c r="Y171" s="255"/>
      <c r="Z171" s="255"/>
      <c r="AA171" s="255"/>
      <c r="AB171" s="255"/>
      <c r="AC171" s="255"/>
      <c r="AD171" s="255"/>
      <c r="AE171" s="255"/>
      <c r="AF171" s="255"/>
      <c r="AG171" s="255"/>
      <c r="AH171" s="255"/>
      <c r="AI171" s="255"/>
      <c r="AJ171" s="255"/>
      <c r="AK171" s="255"/>
      <c r="AL171" s="255"/>
      <c r="AM171" s="255"/>
      <c r="AN171" s="255"/>
      <c r="AO171" s="255"/>
      <c r="AP171" s="284">
        <v>13.2</v>
      </c>
      <c r="AQ171">
        <v>13.7</v>
      </c>
      <c r="AR171" s="255"/>
      <c r="AS171" s="255"/>
      <c r="AT171" s="255"/>
      <c r="AU171" s="255"/>
      <c r="AV171" s="255"/>
      <c r="AW171" s="255"/>
      <c r="AX171" s="255"/>
      <c r="AY171" s="255"/>
      <c r="AZ171" s="255"/>
      <c r="BA171" s="255"/>
      <c r="BB171" s="255"/>
      <c r="BC171" s="255"/>
      <c r="BD171" s="255"/>
      <c r="BE171" s="255"/>
      <c r="BF171" s="255"/>
      <c r="BG171" s="255"/>
      <c r="BH171" s="255"/>
      <c r="BI171" s="255"/>
      <c r="BJ171" s="255"/>
      <c r="BK171" s="255"/>
      <c r="BL171" s="255"/>
      <c r="BM171" s="255"/>
      <c r="BN171" s="255"/>
      <c r="BO171" s="255"/>
      <c r="BP171" s="255"/>
      <c r="BQ171" s="255"/>
      <c r="BR171" s="255"/>
      <c r="BS171" s="255"/>
    </row>
    <row r="172" spans="1:71" x14ac:dyDescent="0.25">
      <c r="A172" s="255"/>
      <c r="B172" s="239" t="s">
        <v>422</v>
      </c>
      <c r="C172" s="238">
        <f>TRUNC(C169*C171*C166,2)</f>
        <v>0</v>
      </c>
      <c r="D172" s="238">
        <f t="shared" ref="D172" si="51">TRUNC(D169*D171*D166,2)</f>
        <v>0</v>
      </c>
      <c r="E172" s="238">
        <f t="shared" ref="E172" si="52">TRUNC(E169*E171*E166,2)</f>
        <v>0</v>
      </c>
      <c r="F172" s="238">
        <f t="shared" ref="F172" si="53">TRUNC(F169*F171*F166,2)</f>
        <v>0</v>
      </c>
      <c r="G172" s="238">
        <f t="shared" ref="G172" si="54">TRUNC(G169*G171*G166,2)</f>
        <v>0</v>
      </c>
      <c r="H172" s="238">
        <f t="shared" ref="H172" si="55">TRUNC(H169*H171*H166,2)</f>
        <v>0</v>
      </c>
      <c r="I172" s="238">
        <f t="shared" ref="I172" si="56">TRUNC(I169*I171*I166,2)</f>
        <v>0</v>
      </c>
      <c r="K172" s="238">
        <f>C172+D172+E172+F172+G172+H172+I172</f>
        <v>0</v>
      </c>
      <c r="L172" s="255"/>
      <c r="M172" s="255"/>
      <c r="N172" s="255"/>
      <c r="O172" s="255"/>
      <c r="P172" s="255"/>
      <c r="Q172" s="255"/>
      <c r="R172" s="255"/>
      <c r="S172" s="255"/>
      <c r="T172" s="255"/>
      <c r="U172" s="255"/>
      <c r="V172" s="255"/>
      <c r="W172" s="255"/>
      <c r="X172" s="255"/>
      <c r="Y172" s="255"/>
      <c r="Z172" s="255"/>
      <c r="AA172" s="255"/>
      <c r="AB172" s="255"/>
      <c r="AC172" s="255"/>
      <c r="AD172" s="255"/>
      <c r="AE172" s="255"/>
      <c r="AF172" s="255"/>
      <c r="AG172" s="255"/>
      <c r="AH172" s="255"/>
      <c r="AI172" s="255"/>
      <c r="AJ172" s="255"/>
      <c r="AK172" s="255"/>
      <c r="AL172" s="255"/>
      <c r="AM172" s="255"/>
      <c r="AN172" s="255"/>
      <c r="AO172" s="255"/>
      <c r="AP172" s="255"/>
      <c r="AQ172" s="255"/>
      <c r="AR172" s="255"/>
      <c r="AS172" s="255"/>
      <c r="AT172" s="255"/>
      <c r="AU172" s="255"/>
      <c r="AV172" s="255"/>
      <c r="AW172" s="255"/>
      <c r="AX172" s="255"/>
      <c r="AY172" s="255"/>
      <c r="AZ172" s="255"/>
      <c r="BA172" s="255"/>
      <c r="BB172" s="255"/>
      <c r="BC172" s="255"/>
      <c r="BD172" s="255"/>
      <c r="BE172" s="255"/>
      <c r="BF172" s="255"/>
      <c r="BG172" s="255"/>
      <c r="BH172" s="255"/>
      <c r="BI172" s="255"/>
      <c r="BJ172" s="255"/>
      <c r="BK172" s="255"/>
      <c r="BL172" s="255"/>
      <c r="BM172" s="255"/>
      <c r="BN172" s="255"/>
      <c r="BO172" s="255"/>
      <c r="BP172" s="255"/>
      <c r="BQ172" s="255"/>
      <c r="BR172" s="255"/>
      <c r="BS172" s="255"/>
    </row>
    <row r="173" spans="1:71" x14ac:dyDescent="0.25">
      <c r="A173" s="255"/>
      <c r="B173" s="255"/>
      <c r="C173" s="255"/>
      <c r="D173" s="255"/>
      <c r="E173" s="255"/>
      <c r="F173" s="255"/>
      <c r="G173" s="255"/>
      <c r="H173" s="255"/>
      <c r="I173" s="255"/>
      <c r="J173" s="255"/>
      <c r="K173" s="255"/>
      <c r="L173" s="255"/>
      <c r="M173" s="255"/>
      <c r="N173" s="255"/>
      <c r="O173" s="255"/>
      <c r="P173" s="255"/>
      <c r="Q173" s="255"/>
      <c r="R173" s="255"/>
      <c r="S173" s="255"/>
      <c r="T173" s="255"/>
      <c r="U173" s="255"/>
      <c r="V173" s="255"/>
      <c r="W173" s="255"/>
      <c r="X173" s="255"/>
      <c r="Y173" s="255"/>
      <c r="Z173" s="255"/>
      <c r="AA173" s="255"/>
      <c r="AB173" s="255"/>
      <c r="AC173" s="255"/>
      <c r="AD173" s="255"/>
      <c r="AE173" s="255"/>
      <c r="AF173" s="255"/>
      <c r="AG173" s="255"/>
      <c r="AH173" s="255"/>
      <c r="AI173" s="255"/>
      <c r="AJ173" s="255"/>
      <c r="AK173" s="255"/>
      <c r="AL173" s="255"/>
      <c r="AM173" s="255"/>
      <c r="AN173" s="255"/>
      <c r="AO173" s="255"/>
      <c r="AP173" s="255"/>
      <c r="AQ173" s="255"/>
      <c r="AR173" s="255"/>
      <c r="AS173" s="255"/>
      <c r="AT173" s="255"/>
      <c r="AU173" s="255"/>
      <c r="AV173" s="255"/>
      <c r="AW173" s="255"/>
      <c r="AX173" s="255"/>
      <c r="AY173" s="255"/>
      <c r="AZ173" s="255"/>
      <c r="BA173" s="255"/>
      <c r="BB173" s="255"/>
      <c r="BC173" s="255"/>
      <c r="BD173" s="255"/>
      <c r="BE173" s="255"/>
      <c r="BF173" s="255"/>
      <c r="BG173" s="255"/>
      <c r="BH173" s="255"/>
      <c r="BI173" s="255"/>
      <c r="BJ173" s="255"/>
      <c r="BK173" s="255"/>
      <c r="BL173" s="255"/>
      <c r="BM173" s="255"/>
      <c r="BN173" s="255"/>
      <c r="BO173" s="255"/>
      <c r="BP173" s="255"/>
      <c r="BQ173" s="255"/>
      <c r="BR173" s="255"/>
      <c r="BS173" s="255"/>
    </row>
    <row r="174" spans="1:71" x14ac:dyDescent="0.25">
      <c r="A174" s="255"/>
      <c r="B174" s="239" t="s">
        <v>222</v>
      </c>
      <c r="C174" s="240"/>
      <c r="D174" s="240"/>
      <c r="E174" s="255"/>
      <c r="F174" s="255"/>
      <c r="G174" s="255"/>
      <c r="H174" s="255"/>
      <c r="I174" s="255"/>
      <c r="J174" s="255"/>
      <c r="K174" s="255"/>
      <c r="L174" s="255"/>
      <c r="M174" s="255"/>
      <c r="N174" s="255"/>
      <c r="O174" s="255"/>
      <c r="P174" s="255"/>
      <c r="Q174" s="255"/>
      <c r="R174" s="255"/>
      <c r="S174" s="255"/>
      <c r="T174" s="255"/>
      <c r="U174" s="255"/>
      <c r="V174" s="255"/>
      <c r="W174" s="255"/>
      <c r="X174" s="255"/>
      <c r="Y174" s="255"/>
      <c r="Z174" s="255"/>
      <c r="AA174" s="255"/>
      <c r="AB174" s="255"/>
      <c r="AC174" s="255"/>
      <c r="AD174" s="255"/>
      <c r="AE174" s="255"/>
      <c r="AF174" s="255"/>
      <c r="AG174" s="255"/>
      <c r="AH174" s="255"/>
      <c r="AI174" s="255"/>
      <c r="AJ174" s="255"/>
      <c r="AK174" s="255"/>
      <c r="AL174" s="255"/>
      <c r="AM174" s="255"/>
      <c r="AN174" s="255"/>
      <c r="AO174" s="255"/>
      <c r="AP174" s="255"/>
      <c r="AQ174" s="255"/>
      <c r="AR174" s="255"/>
      <c r="AS174" s="255"/>
      <c r="AT174" s="255"/>
      <c r="AU174" s="255"/>
      <c r="AV174" s="255"/>
      <c r="AW174" s="255"/>
      <c r="AX174" s="255"/>
      <c r="AY174" s="255"/>
      <c r="AZ174" s="255"/>
      <c r="BA174" s="255"/>
      <c r="BB174" s="255"/>
      <c r="BC174" s="255"/>
      <c r="BD174" s="255"/>
      <c r="BE174" s="255"/>
      <c r="BF174" s="255"/>
      <c r="BG174" s="255"/>
      <c r="BH174" s="255"/>
      <c r="BI174" s="255"/>
      <c r="BJ174" s="255"/>
      <c r="BK174" s="255"/>
      <c r="BL174" s="255"/>
      <c r="BM174" s="255"/>
      <c r="BN174" s="255"/>
      <c r="BO174" s="255"/>
      <c r="BP174" s="255"/>
      <c r="BQ174" s="255"/>
      <c r="BR174" s="255"/>
      <c r="BS174" s="255"/>
    </row>
    <row r="175" spans="1:71" x14ac:dyDescent="0.25">
      <c r="A175" s="255"/>
      <c r="B175" s="255"/>
      <c r="C175" s="239" t="s">
        <v>160</v>
      </c>
      <c r="D175" s="239" t="s">
        <v>45</v>
      </c>
      <c r="E175" s="239" t="s">
        <v>225</v>
      </c>
      <c r="F175" s="239" t="s">
        <v>226</v>
      </c>
      <c r="G175" s="239" t="s">
        <v>428</v>
      </c>
      <c r="H175" s="239" t="s">
        <v>227</v>
      </c>
      <c r="I175" s="239" t="s">
        <v>427</v>
      </c>
      <c r="J175" s="240"/>
      <c r="K175" s="239" t="s">
        <v>209</v>
      </c>
      <c r="L175" s="239" t="s">
        <v>229</v>
      </c>
      <c r="M175" s="239" t="s">
        <v>230</v>
      </c>
      <c r="N175" s="255"/>
      <c r="O175" s="255"/>
      <c r="P175" s="255"/>
      <c r="Q175" s="255"/>
      <c r="R175" s="255"/>
      <c r="S175" s="255"/>
      <c r="T175" s="255"/>
      <c r="U175" s="255"/>
      <c r="V175" s="255"/>
      <c r="W175" s="255"/>
      <c r="X175" s="255"/>
      <c r="Y175" s="255"/>
      <c r="Z175" s="255"/>
      <c r="AA175" s="255"/>
      <c r="AB175" s="255"/>
      <c r="AC175" s="255"/>
      <c r="AD175" s="255"/>
      <c r="AE175" s="255"/>
      <c r="AF175" s="255"/>
      <c r="AG175" s="255"/>
      <c r="AH175" s="255"/>
      <c r="AI175" s="255"/>
      <c r="AJ175" s="255"/>
      <c r="AK175" s="255"/>
      <c r="AL175" s="255"/>
      <c r="AM175" s="255"/>
      <c r="AN175" s="255"/>
      <c r="AO175" s="255"/>
      <c r="AP175" s="255"/>
      <c r="AQ175" s="255"/>
      <c r="AR175" s="255"/>
      <c r="AS175" s="255"/>
      <c r="AT175" s="255"/>
      <c r="AU175" s="255"/>
      <c r="AV175" s="255"/>
      <c r="AW175" s="255"/>
      <c r="AX175" s="255"/>
      <c r="AY175" s="255"/>
      <c r="AZ175" s="255"/>
      <c r="BA175" s="255"/>
      <c r="BB175" s="255"/>
      <c r="BC175" s="255"/>
      <c r="BD175" s="255"/>
      <c r="BE175" s="255"/>
      <c r="BF175" s="255"/>
      <c r="BG175" s="255"/>
      <c r="BH175" s="255"/>
      <c r="BI175" s="255"/>
      <c r="BJ175" s="255"/>
      <c r="BK175" s="255"/>
      <c r="BL175" s="255"/>
      <c r="BM175" s="255"/>
      <c r="BN175" s="255"/>
      <c r="BO175" s="255"/>
      <c r="BP175" s="255"/>
      <c r="BQ175" s="255"/>
      <c r="BR175" s="255"/>
      <c r="BS175" s="255"/>
    </row>
    <row r="176" spans="1:71" x14ac:dyDescent="0.25">
      <c r="A176" s="255"/>
      <c r="B176" s="239" t="s">
        <v>224</v>
      </c>
      <c r="C176" s="273">
        <f>E$121</f>
        <v>0.3</v>
      </c>
      <c r="D176" s="273">
        <f>E$120</f>
        <v>429</v>
      </c>
      <c r="E176" s="272">
        <v>9.81</v>
      </c>
      <c r="F176" s="271"/>
      <c r="G176" s="271"/>
      <c r="H176" s="271"/>
      <c r="I176" s="238">
        <f>K145</f>
        <v>1392.56</v>
      </c>
      <c r="J176" s="238"/>
      <c r="K176" s="238">
        <f>TRUNC(C176*D176*E176+I176,2)</f>
        <v>2655.1</v>
      </c>
      <c r="L176" s="243">
        <f>G134</f>
        <v>2586.7800000000002</v>
      </c>
      <c r="N176" s="255"/>
      <c r="O176" s="255"/>
      <c r="P176" s="255"/>
      <c r="Q176" s="255"/>
      <c r="R176" s="255"/>
      <c r="S176" s="255"/>
      <c r="T176" s="255"/>
      <c r="U176" s="255"/>
      <c r="V176" s="255"/>
      <c r="W176" s="255"/>
      <c r="X176" s="255"/>
      <c r="Y176" s="255"/>
      <c r="Z176" s="255"/>
      <c r="AA176" s="255"/>
      <c r="AB176" s="255"/>
      <c r="AC176" s="255"/>
      <c r="AD176" s="255"/>
      <c r="AE176" s="255"/>
      <c r="AF176" s="255"/>
      <c r="AG176" s="255"/>
      <c r="AH176" s="255"/>
      <c r="AI176" s="255"/>
      <c r="AJ176" s="255"/>
      <c r="AK176" s="255"/>
      <c r="AL176" s="255"/>
      <c r="AM176" s="255"/>
      <c r="AN176" s="255"/>
      <c r="AO176" s="255"/>
      <c r="AP176" s="255"/>
      <c r="AQ176" s="255"/>
      <c r="AR176" s="255"/>
      <c r="AS176" s="255"/>
      <c r="AT176" s="255"/>
      <c r="AU176" s="255"/>
      <c r="AV176" s="255"/>
      <c r="AW176" s="255"/>
      <c r="AX176" s="255"/>
      <c r="AY176" s="255"/>
      <c r="AZ176" s="255"/>
      <c r="BA176" s="255"/>
      <c r="BB176" s="255"/>
      <c r="BC176" s="255"/>
      <c r="BD176" s="255"/>
      <c r="BE176" s="255"/>
      <c r="BF176" s="255"/>
      <c r="BG176" s="255"/>
      <c r="BH176" s="255"/>
      <c r="BI176" s="255"/>
      <c r="BJ176" s="255"/>
      <c r="BK176" s="255"/>
      <c r="BL176" s="255"/>
      <c r="BM176" s="255"/>
      <c r="BN176" s="255"/>
      <c r="BO176" s="255"/>
      <c r="BP176" s="255"/>
      <c r="BQ176" s="255"/>
      <c r="BR176" s="255"/>
      <c r="BS176" s="255"/>
    </row>
    <row r="177" spans="1:71" x14ac:dyDescent="0.25">
      <c r="A177" s="255"/>
      <c r="B177" s="239" t="s">
        <v>223</v>
      </c>
      <c r="C177" s="273">
        <f t="shared" ref="C177:C179" si="57">E$121</f>
        <v>0.3</v>
      </c>
      <c r="D177" s="273">
        <f t="shared" ref="D177:D179" si="58">E$120</f>
        <v>429</v>
      </c>
      <c r="E177" s="272">
        <v>9.81</v>
      </c>
      <c r="F177" s="271"/>
      <c r="G177" s="271"/>
      <c r="H177" s="271"/>
      <c r="I177" s="238">
        <f>K154</f>
        <v>1392.56</v>
      </c>
      <c r="J177" s="238"/>
      <c r="K177" s="238">
        <f>TRUNC(C177*D177*E177+I177,2)</f>
        <v>2655.1</v>
      </c>
      <c r="L177" s="243">
        <f>G134</f>
        <v>2586.7800000000002</v>
      </c>
      <c r="N177" s="255"/>
      <c r="O177" s="255"/>
      <c r="P177" s="255"/>
      <c r="Q177" s="255"/>
      <c r="R177" s="255"/>
      <c r="S177" s="255"/>
      <c r="T177" s="255"/>
      <c r="U177" s="255"/>
      <c r="V177" s="255"/>
      <c r="W177" s="255"/>
      <c r="X177" s="255"/>
      <c r="Y177" s="255"/>
      <c r="Z177" s="255"/>
      <c r="AA177" s="255"/>
      <c r="AB177" s="255"/>
      <c r="AC177" s="255"/>
      <c r="AD177" s="255"/>
      <c r="AE177" s="255"/>
      <c r="AF177" s="255"/>
      <c r="AG177" s="255"/>
      <c r="AH177" s="255"/>
      <c r="AI177" s="255"/>
      <c r="AJ177" s="255"/>
      <c r="AK177" s="255"/>
      <c r="AL177" s="255"/>
      <c r="AM177" s="255"/>
      <c r="AN177" s="255"/>
      <c r="AO177" s="255"/>
      <c r="AP177" s="255"/>
      <c r="AQ177" s="255"/>
      <c r="AR177" s="255"/>
      <c r="AS177" s="255"/>
      <c r="AT177" s="255"/>
      <c r="AU177" s="255"/>
      <c r="AV177" s="255"/>
      <c r="AW177" s="255"/>
      <c r="AX177" s="255"/>
      <c r="AY177" s="255"/>
      <c r="AZ177" s="255"/>
      <c r="BA177" s="255"/>
      <c r="BB177" s="255"/>
      <c r="BC177" s="255"/>
      <c r="BD177" s="255"/>
      <c r="BE177" s="255"/>
      <c r="BF177" s="255"/>
      <c r="BG177" s="255"/>
      <c r="BH177" s="255"/>
      <c r="BI177" s="255"/>
      <c r="BJ177" s="255"/>
      <c r="BK177" s="255"/>
      <c r="BL177" s="255"/>
      <c r="BM177" s="255"/>
      <c r="BN177" s="255"/>
      <c r="BO177" s="255"/>
      <c r="BP177" s="255"/>
      <c r="BQ177" s="255"/>
      <c r="BR177" s="255"/>
      <c r="BS177" s="255"/>
    </row>
    <row r="178" spans="1:71" x14ac:dyDescent="0.25">
      <c r="A178" s="255"/>
      <c r="B178" s="239" t="s">
        <v>237</v>
      </c>
      <c r="C178" s="273">
        <f t="shared" si="57"/>
        <v>0.3</v>
      </c>
      <c r="D178" s="273">
        <f t="shared" si="58"/>
        <v>429</v>
      </c>
      <c r="E178" s="272">
        <v>9.81</v>
      </c>
      <c r="F178" s="333">
        <f>IF(E121=0,0.2,IF(E121=0.1,0.5,IF(E121=0.2,0.7,IF(E121=0.3,0.8,IF(E121=0.4,0.85,IF(E121=0.5,0.9))))))</f>
        <v>0.8</v>
      </c>
      <c r="G178" s="336">
        <f>G135</f>
        <v>1810.3799999999999</v>
      </c>
      <c r="H178" s="243">
        <f>F178*G178</f>
        <v>1448.3040000000001</v>
      </c>
      <c r="I178" s="287">
        <f>L195</f>
        <v>442.66</v>
      </c>
      <c r="J178" s="238"/>
      <c r="K178" s="238">
        <f>TRUNC(C178*(D178*E178-H178)+I178,2)</f>
        <v>1270.71</v>
      </c>
      <c r="L178" s="243">
        <f>G133</f>
        <v>1106.82</v>
      </c>
      <c r="N178" s="255"/>
      <c r="O178" s="255"/>
      <c r="P178" s="255"/>
      <c r="Q178" s="255"/>
      <c r="R178" s="255"/>
      <c r="S178" s="255"/>
      <c r="T178" s="255"/>
      <c r="U178" s="255"/>
      <c r="V178" s="255"/>
      <c r="W178" s="255"/>
      <c r="X178" s="255"/>
      <c r="Y178" s="255"/>
      <c r="Z178" s="255"/>
      <c r="AA178" s="255"/>
      <c r="AB178" s="255"/>
      <c r="AC178" s="255"/>
      <c r="AD178" s="255"/>
      <c r="AE178" s="255"/>
      <c r="AF178" s="255"/>
      <c r="AG178" s="255"/>
      <c r="AH178" s="255"/>
      <c r="AI178" s="255"/>
      <c r="AJ178" s="255"/>
      <c r="AK178" s="255"/>
      <c r="AL178" s="255"/>
      <c r="AM178" s="255"/>
      <c r="AN178" s="255"/>
      <c r="AO178" s="255"/>
      <c r="AP178" s="255"/>
      <c r="AQ178" s="255"/>
      <c r="AR178" s="255"/>
      <c r="AS178" s="255"/>
      <c r="AT178" s="255"/>
      <c r="AU178" s="255"/>
      <c r="AV178" s="255"/>
      <c r="AW178" s="255"/>
      <c r="AX178" s="255"/>
      <c r="AY178" s="255"/>
      <c r="AZ178" s="255"/>
      <c r="BA178" s="255"/>
      <c r="BB178" s="255"/>
      <c r="BC178" s="255"/>
      <c r="BD178" s="255"/>
      <c r="BE178" s="255"/>
      <c r="BF178" s="255"/>
      <c r="BG178" s="255"/>
      <c r="BH178" s="255"/>
      <c r="BI178" s="255"/>
      <c r="BJ178" s="255"/>
      <c r="BK178" s="255"/>
      <c r="BL178" s="255"/>
      <c r="BM178" s="255"/>
      <c r="BN178" s="255"/>
      <c r="BO178" s="255"/>
      <c r="BP178" s="255"/>
      <c r="BQ178" s="255"/>
      <c r="BR178" s="255"/>
      <c r="BS178" s="255"/>
    </row>
    <row r="179" spans="1:71" x14ac:dyDescent="0.25">
      <c r="A179" s="255"/>
      <c r="B179" s="239" t="s">
        <v>238</v>
      </c>
      <c r="C179" s="273">
        <f t="shared" si="57"/>
        <v>0.3</v>
      </c>
      <c r="D179" s="273">
        <f t="shared" si="58"/>
        <v>429</v>
      </c>
      <c r="E179" s="272">
        <v>9.81</v>
      </c>
      <c r="F179" s="333">
        <f>IF(E121=0,0.2,IF(E121=0.1,0.5,IF(E121=0.2,0.7,IF(E121=0.3,0.8,IF(E121=0.4,0.85,IF(E121=0.5,0.9))))))</f>
        <v>0.8</v>
      </c>
      <c r="G179" s="336">
        <f>G135</f>
        <v>1810.3799999999999</v>
      </c>
      <c r="H179" s="243">
        <f>F179*G179</f>
        <v>1448.3040000000001</v>
      </c>
      <c r="I179" s="287">
        <f>L196</f>
        <v>442.66</v>
      </c>
      <c r="J179" s="238"/>
      <c r="K179" s="238">
        <f>TRUNC(C179*(D179*E179-H179)+I179,2)</f>
        <v>1270.71</v>
      </c>
      <c r="L179" s="243">
        <f>G133</f>
        <v>1106.82</v>
      </c>
      <c r="N179" s="255"/>
      <c r="O179" s="255"/>
      <c r="P179" s="255"/>
      <c r="Q179" s="255"/>
      <c r="R179" s="255"/>
      <c r="S179" s="255"/>
      <c r="T179" s="255"/>
      <c r="U179" s="255"/>
      <c r="V179" s="255"/>
      <c r="W179" s="255"/>
      <c r="X179" s="255"/>
      <c r="Y179" s="255"/>
      <c r="Z179" s="255"/>
      <c r="AA179" s="255"/>
      <c r="AB179" s="255"/>
      <c r="AC179" s="255"/>
      <c r="AD179" s="255"/>
      <c r="AE179" s="255"/>
      <c r="AF179" s="255"/>
      <c r="AG179" s="255"/>
      <c r="AH179" s="255"/>
      <c r="AI179" s="255"/>
      <c r="AJ179" s="255"/>
      <c r="AK179" s="255"/>
      <c r="AL179" s="255"/>
      <c r="AM179" s="255"/>
      <c r="AN179" s="255"/>
      <c r="AO179" s="255"/>
      <c r="AP179" s="255"/>
      <c r="AQ179" s="255"/>
      <c r="AR179" s="255"/>
      <c r="AS179" s="255"/>
      <c r="AT179" s="255"/>
      <c r="AU179" s="255"/>
      <c r="AV179" s="255"/>
      <c r="AW179" s="255"/>
      <c r="AX179" s="255"/>
      <c r="AY179" s="255"/>
      <c r="AZ179" s="255"/>
      <c r="BA179" s="255"/>
      <c r="BB179" s="255"/>
      <c r="BC179" s="255"/>
      <c r="BD179" s="255"/>
      <c r="BE179" s="255"/>
      <c r="BF179" s="255"/>
      <c r="BG179" s="255"/>
      <c r="BH179" s="255"/>
      <c r="BI179" s="255"/>
      <c r="BJ179" s="255"/>
      <c r="BK179" s="255"/>
      <c r="BL179" s="255"/>
      <c r="BM179" s="255"/>
      <c r="BN179" s="255"/>
      <c r="BO179" s="255"/>
      <c r="BP179" s="255"/>
      <c r="BQ179" s="255"/>
      <c r="BR179" s="255"/>
      <c r="BS179" s="255"/>
    </row>
    <row r="180" spans="1:71" x14ac:dyDescent="0.25">
      <c r="A180" s="255"/>
      <c r="B180" s="255"/>
      <c r="C180" s="255"/>
      <c r="D180" s="255"/>
      <c r="E180" s="255"/>
      <c r="F180" s="255"/>
      <c r="G180" s="255"/>
      <c r="H180" s="255"/>
      <c r="I180" s="255"/>
      <c r="J180" s="255"/>
      <c r="K180" s="255"/>
      <c r="L180" s="255"/>
      <c r="M180" s="255"/>
      <c r="N180" s="255"/>
      <c r="O180" s="255"/>
      <c r="P180" s="255"/>
      <c r="Q180" s="255"/>
      <c r="R180" s="255"/>
      <c r="S180" s="255"/>
      <c r="T180" s="255"/>
      <c r="U180" s="255"/>
      <c r="V180" s="255"/>
      <c r="W180" s="255"/>
      <c r="X180" s="255"/>
      <c r="Y180" s="255"/>
      <c r="Z180" s="255"/>
      <c r="AA180" s="255"/>
      <c r="AB180" s="255"/>
      <c r="AC180" s="255"/>
      <c r="AD180" s="255"/>
      <c r="AE180" s="255"/>
      <c r="AF180" s="255"/>
      <c r="AG180" s="255"/>
      <c r="AH180" s="255"/>
      <c r="AI180" s="255"/>
      <c r="AJ180" s="255"/>
      <c r="AK180" s="255"/>
      <c r="AL180" s="255"/>
      <c r="AM180" s="255"/>
      <c r="AN180" s="255"/>
      <c r="AO180" s="255"/>
      <c r="AP180" s="255"/>
      <c r="AQ180" s="255"/>
      <c r="AR180" s="255"/>
      <c r="AS180" s="255"/>
      <c r="AT180" s="255"/>
      <c r="AU180" s="255"/>
      <c r="AV180" s="255"/>
      <c r="AW180" s="255"/>
      <c r="AX180" s="255"/>
      <c r="AY180" s="255"/>
      <c r="AZ180" s="255"/>
      <c r="BA180" s="255"/>
      <c r="BB180" s="255"/>
      <c r="BC180" s="255"/>
      <c r="BD180" s="255"/>
      <c r="BE180" s="255"/>
      <c r="BF180" s="255"/>
      <c r="BG180" s="255"/>
      <c r="BH180" s="255"/>
      <c r="BI180" s="255"/>
      <c r="BJ180" s="255"/>
      <c r="BK180" s="255"/>
      <c r="BL180" s="255"/>
      <c r="BM180" s="255"/>
      <c r="BN180" s="255"/>
      <c r="BO180" s="255"/>
      <c r="BP180" s="255"/>
      <c r="BQ180" s="255"/>
      <c r="BR180" s="255"/>
      <c r="BS180" s="255"/>
    </row>
    <row r="181" spans="1:71" x14ac:dyDescent="0.25">
      <c r="A181" s="255"/>
      <c r="B181" s="239" t="s">
        <v>429</v>
      </c>
      <c r="C181" s="255"/>
      <c r="D181" s="255"/>
      <c r="E181" s="255"/>
      <c r="F181" s="255"/>
      <c r="G181" s="255"/>
      <c r="H181" s="255"/>
      <c r="I181" s="255"/>
      <c r="J181" s="255"/>
      <c r="K181" s="255"/>
      <c r="L181" s="255"/>
      <c r="M181" s="255"/>
      <c r="N181" s="255"/>
      <c r="O181" s="255"/>
      <c r="P181" s="255"/>
      <c r="Q181" s="255"/>
      <c r="R181" s="255"/>
      <c r="S181" s="255"/>
      <c r="T181" s="255"/>
      <c r="U181" s="255"/>
      <c r="V181" s="255"/>
      <c r="W181" s="255"/>
      <c r="X181" s="255"/>
      <c r="Y181" s="255"/>
      <c r="Z181" s="255"/>
      <c r="AA181" s="255"/>
      <c r="AB181" s="255"/>
      <c r="AC181" s="255"/>
      <c r="AD181" s="255"/>
      <c r="AE181" s="255"/>
      <c r="AF181" s="255"/>
      <c r="AG181" s="255"/>
      <c r="AH181" s="255"/>
      <c r="AI181" s="255"/>
      <c r="AJ181" s="255"/>
      <c r="AK181" s="255"/>
      <c r="AL181" s="255"/>
      <c r="AM181" s="255"/>
      <c r="AN181" s="255"/>
      <c r="AO181" s="255"/>
      <c r="AP181" s="255"/>
      <c r="AQ181" s="255"/>
      <c r="AR181" s="255"/>
      <c r="AS181" s="255"/>
      <c r="AT181" s="255"/>
      <c r="AU181" s="255"/>
      <c r="AV181" s="255"/>
      <c r="AW181" s="255"/>
      <c r="AX181" s="255"/>
      <c r="AY181" s="255"/>
      <c r="AZ181" s="255"/>
      <c r="BA181" s="255"/>
      <c r="BB181" s="255"/>
      <c r="BC181" s="255"/>
      <c r="BD181" s="255"/>
      <c r="BE181" s="255"/>
      <c r="BF181" s="255"/>
      <c r="BG181" s="255"/>
      <c r="BH181" s="255"/>
      <c r="BI181" s="255"/>
      <c r="BJ181" s="255"/>
      <c r="BK181" s="255"/>
      <c r="BL181" s="255"/>
      <c r="BM181" s="255"/>
      <c r="BN181" s="255"/>
      <c r="BO181" s="255"/>
      <c r="BP181" s="255"/>
      <c r="BQ181" s="255"/>
      <c r="BR181" s="255"/>
      <c r="BS181" s="255"/>
    </row>
    <row r="182" spans="1:71" x14ac:dyDescent="0.25">
      <c r="A182" s="255"/>
      <c r="B182" s="255"/>
      <c r="C182" s="239" t="s">
        <v>45</v>
      </c>
      <c r="D182" s="239" t="s">
        <v>430</v>
      </c>
      <c r="E182" s="239" t="s">
        <v>431</v>
      </c>
      <c r="F182" s="239" t="s">
        <v>193</v>
      </c>
      <c r="G182" s="239" t="s">
        <v>194</v>
      </c>
      <c r="H182" s="239" t="s">
        <v>432</v>
      </c>
      <c r="I182" s="255"/>
      <c r="J182" s="255"/>
      <c r="K182" s="255"/>
      <c r="L182" s="255"/>
      <c r="M182" s="255"/>
      <c r="N182" s="255"/>
      <c r="O182" s="255"/>
      <c r="P182" s="255"/>
      <c r="Q182" s="255"/>
      <c r="R182" s="255"/>
      <c r="S182" s="255"/>
      <c r="T182" s="255"/>
      <c r="U182" s="255"/>
      <c r="V182" s="255"/>
      <c r="W182" s="255"/>
      <c r="X182" s="255"/>
      <c r="Y182" s="255"/>
      <c r="Z182" s="255"/>
      <c r="AA182" s="255"/>
      <c r="AB182" s="255"/>
      <c r="AC182" s="255"/>
      <c r="AD182" s="255"/>
      <c r="AE182" s="255"/>
      <c r="AF182" s="255"/>
      <c r="AG182" s="255"/>
      <c r="AH182" s="255"/>
      <c r="AI182" s="255"/>
      <c r="AJ182" s="255"/>
      <c r="AK182" s="255"/>
      <c r="AL182" s="255"/>
      <c r="AM182" s="255"/>
      <c r="AN182" s="255"/>
      <c r="AO182" s="255"/>
      <c r="AP182" s="255"/>
      <c r="AQ182" s="255"/>
      <c r="AR182" s="255"/>
      <c r="AS182" s="255"/>
      <c r="AT182" s="255"/>
      <c r="AU182" s="255"/>
      <c r="AV182" s="255"/>
      <c r="AW182" s="255"/>
      <c r="AX182" s="255"/>
      <c r="AY182" s="255"/>
      <c r="AZ182" s="255"/>
      <c r="BA182" s="255"/>
      <c r="BB182" s="255"/>
      <c r="BC182" s="255"/>
      <c r="BD182" s="255"/>
      <c r="BE182" s="255"/>
      <c r="BF182" s="255"/>
      <c r="BG182" s="255"/>
      <c r="BH182" s="255"/>
      <c r="BI182" s="255"/>
      <c r="BJ182" s="255"/>
      <c r="BK182" s="255"/>
      <c r="BL182" s="255"/>
      <c r="BM182" s="255"/>
      <c r="BN182" s="255"/>
      <c r="BO182" s="255"/>
      <c r="BP182" s="255"/>
      <c r="BQ182" s="255"/>
      <c r="BR182" s="255"/>
      <c r="BS182" s="255"/>
    </row>
    <row r="183" spans="1:71" x14ac:dyDescent="0.25">
      <c r="A183" s="255"/>
      <c r="B183" s="239" t="s">
        <v>433</v>
      </c>
      <c r="C183" s="315">
        <v>273</v>
      </c>
      <c r="D183" s="336">
        <f>C127</f>
        <v>2.58</v>
      </c>
      <c r="E183" s="271"/>
      <c r="F183" s="315">
        <v>0</v>
      </c>
      <c r="G183" s="315">
        <v>0</v>
      </c>
      <c r="H183" s="238">
        <f>C183*D183+F183+G183</f>
        <v>704.34</v>
      </c>
      <c r="I183" s="255"/>
      <c r="J183" s="255"/>
      <c r="K183" s="255"/>
      <c r="L183" s="255"/>
      <c r="M183" s="255"/>
      <c r="N183" s="255"/>
      <c r="O183" s="255"/>
      <c r="P183" s="255"/>
      <c r="Q183" s="255"/>
      <c r="R183" s="255"/>
      <c r="S183" s="255"/>
      <c r="T183" s="255"/>
      <c r="U183" s="255"/>
      <c r="V183" s="255"/>
      <c r="W183" s="255"/>
      <c r="X183" s="255"/>
      <c r="Y183" s="255"/>
      <c r="Z183" s="255"/>
      <c r="AA183" s="255"/>
      <c r="AB183" s="255"/>
      <c r="AC183" s="255"/>
      <c r="AD183" s="255"/>
      <c r="AE183" s="255"/>
      <c r="AF183" s="255"/>
      <c r="AG183" s="255"/>
      <c r="AH183" s="255"/>
      <c r="AI183" s="255"/>
      <c r="AJ183" s="255"/>
      <c r="AK183" s="255"/>
      <c r="AL183" s="255"/>
      <c r="AM183" s="255"/>
      <c r="AN183" s="255"/>
      <c r="AO183" s="255"/>
      <c r="AP183" s="255"/>
      <c r="AQ183" s="255"/>
      <c r="AR183" s="255"/>
      <c r="AS183" s="255"/>
      <c r="AT183" s="255"/>
      <c r="AU183" s="255"/>
      <c r="AV183" s="255"/>
      <c r="AW183" s="255"/>
      <c r="AX183" s="255"/>
      <c r="AY183" s="255"/>
      <c r="AZ183" s="255"/>
      <c r="BA183" s="255"/>
      <c r="BB183" s="255"/>
      <c r="BC183" s="255"/>
      <c r="BD183" s="255"/>
      <c r="BE183" s="255"/>
      <c r="BF183" s="255"/>
      <c r="BG183" s="255"/>
      <c r="BH183" s="255"/>
      <c r="BI183" s="255"/>
      <c r="BJ183" s="255"/>
      <c r="BK183" s="255"/>
      <c r="BL183" s="255"/>
      <c r="BM183" s="255"/>
      <c r="BN183" s="255"/>
      <c r="BO183" s="255"/>
      <c r="BP183" s="255"/>
      <c r="BQ183" s="255"/>
      <c r="BR183" s="255"/>
      <c r="BS183" s="255"/>
    </row>
    <row r="184" spans="1:71" x14ac:dyDescent="0.25">
      <c r="A184" s="255"/>
      <c r="B184" s="239" t="s">
        <v>434</v>
      </c>
      <c r="C184" s="315">
        <v>273</v>
      </c>
      <c r="D184" s="271"/>
      <c r="E184" s="336">
        <f>C129</f>
        <v>4.22</v>
      </c>
      <c r="F184" s="271"/>
      <c r="G184" s="271"/>
      <c r="H184" s="238">
        <f>C184*E184</f>
        <v>1152.06</v>
      </c>
      <c r="I184" s="255"/>
      <c r="J184" s="255"/>
      <c r="K184" s="255"/>
      <c r="L184" s="255"/>
      <c r="M184" s="255"/>
      <c r="N184" s="255"/>
      <c r="O184" s="255"/>
      <c r="P184" s="255"/>
      <c r="Q184" s="255"/>
      <c r="R184" s="255"/>
      <c r="S184" s="255"/>
      <c r="T184" s="255"/>
      <c r="U184" s="255"/>
      <c r="V184" s="255"/>
      <c r="W184" s="255"/>
      <c r="X184" s="255"/>
      <c r="Y184" s="255"/>
      <c r="Z184" s="255"/>
      <c r="AA184" s="255"/>
      <c r="AB184" s="255"/>
      <c r="AC184" s="255"/>
      <c r="AD184" s="255"/>
      <c r="AE184" s="255"/>
      <c r="AF184" s="255"/>
      <c r="AG184" s="255"/>
      <c r="AH184" s="255"/>
      <c r="AI184" s="255"/>
      <c r="AJ184" s="255"/>
      <c r="AK184" s="255"/>
      <c r="AL184" s="255"/>
      <c r="AM184" s="255"/>
      <c r="AN184" s="255"/>
      <c r="AO184" s="255"/>
      <c r="AP184" s="255"/>
      <c r="AQ184" s="255"/>
      <c r="AR184" s="255"/>
      <c r="AS184" s="255"/>
      <c r="AT184" s="255"/>
      <c r="AU184" s="255"/>
      <c r="AV184" s="255"/>
      <c r="AW184" s="255"/>
      <c r="AX184" s="255"/>
      <c r="AY184" s="255"/>
      <c r="AZ184" s="255"/>
      <c r="BA184" s="255"/>
      <c r="BB184" s="255"/>
      <c r="BC184" s="255"/>
      <c r="BD184" s="255"/>
      <c r="BE184" s="255"/>
      <c r="BF184" s="255"/>
      <c r="BG184" s="255"/>
      <c r="BH184" s="255"/>
      <c r="BI184" s="255"/>
      <c r="BJ184" s="255"/>
      <c r="BK184" s="255"/>
      <c r="BL184" s="255"/>
      <c r="BM184" s="255"/>
      <c r="BN184" s="255"/>
      <c r="BO184" s="255"/>
      <c r="BP184" s="255"/>
      <c r="BQ184" s="255"/>
      <c r="BR184" s="255"/>
      <c r="BS184" s="255"/>
    </row>
    <row r="185" spans="1:71" x14ac:dyDescent="0.25">
      <c r="A185" s="255"/>
      <c r="B185" s="255"/>
      <c r="C185" s="255"/>
      <c r="D185" s="255"/>
      <c r="E185" s="255"/>
      <c r="F185" s="255"/>
      <c r="G185" s="255"/>
      <c r="H185" s="255"/>
      <c r="I185" s="255"/>
      <c r="J185" s="255"/>
      <c r="K185" s="255"/>
      <c r="L185" s="255"/>
      <c r="M185" s="255"/>
      <c r="N185" s="255"/>
      <c r="O185" s="255"/>
      <c r="P185" s="255"/>
      <c r="Q185" s="255"/>
      <c r="R185" s="255"/>
      <c r="S185" s="255"/>
      <c r="T185" s="255"/>
      <c r="U185" s="255"/>
      <c r="V185" s="255"/>
      <c r="W185" s="255"/>
      <c r="X185" s="255"/>
      <c r="Y185" s="255"/>
      <c r="Z185" s="255"/>
      <c r="AA185" s="255"/>
      <c r="AB185" s="255"/>
      <c r="AC185" s="255"/>
      <c r="AD185" s="255"/>
      <c r="AE185" s="255"/>
      <c r="AF185" s="255"/>
      <c r="AG185" s="255"/>
      <c r="AH185" s="255"/>
      <c r="AI185" s="255"/>
      <c r="AJ185" s="255"/>
      <c r="AK185" s="255"/>
      <c r="AL185" s="255"/>
      <c r="AM185" s="255"/>
      <c r="AN185" s="255"/>
      <c r="AO185" s="255"/>
      <c r="AP185" s="255"/>
      <c r="AQ185" s="255"/>
      <c r="AR185" s="255"/>
      <c r="AS185" s="255"/>
      <c r="AT185" s="255"/>
      <c r="AU185" s="255"/>
      <c r="AV185" s="255"/>
      <c r="AW185" s="255"/>
      <c r="AX185" s="255"/>
      <c r="AY185" s="255"/>
      <c r="AZ185" s="255"/>
      <c r="BA185" s="255"/>
      <c r="BB185" s="255"/>
      <c r="BC185" s="255"/>
      <c r="BD185" s="255"/>
      <c r="BE185" s="255"/>
      <c r="BF185" s="255"/>
      <c r="BG185" s="255"/>
      <c r="BH185" s="255"/>
      <c r="BI185" s="255"/>
      <c r="BJ185" s="255"/>
      <c r="BK185" s="255"/>
      <c r="BL185" s="255"/>
      <c r="BM185" s="255"/>
      <c r="BN185" s="255"/>
      <c r="BO185" s="255"/>
      <c r="BP185" s="255"/>
      <c r="BQ185" s="255"/>
      <c r="BR185" s="255"/>
      <c r="BS185" s="255"/>
    </row>
    <row r="186" spans="1:71" x14ac:dyDescent="0.25">
      <c r="A186" s="255"/>
      <c r="B186" s="239" t="s">
        <v>435</v>
      </c>
      <c r="C186" s="255"/>
      <c r="D186" s="255"/>
      <c r="E186" s="255"/>
      <c r="F186" s="255"/>
      <c r="G186" s="255"/>
      <c r="H186" s="255"/>
      <c r="I186" s="255"/>
      <c r="J186" s="255"/>
      <c r="K186" s="255"/>
      <c r="L186" s="255"/>
      <c r="M186" s="255"/>
      <c r="N186" s="255"/>
      <c r="O186" s="255"/>
      <c r="P186" s="255"/>
      <c r="Q186" s="255"/>
      <c r="R186" s="255"/>
      <c r="S186" s="255"/>
      <c r="T186" s="255"/>
      <c r="U186" s="255"/>
      <c r="V186" s="255"/>
      <c r="W186" s="255"/>
      <c r="X186" s="255"/>
      <c r="Y186" s="255"/>
      <c r="Z186" s="255"/>
      <c r="AA186" s="255"/>
      <c r="AB186" s="255"/>
      <c r="AC186" s="255"/>
      <c r="AD186" s="255"/>
      <c r="AE186" s="255"/>
      <c r="AF186" s="255"/>
      <c r="AG186" s="255"/>
      <c r="AH186" s="255"/>
      <c r="AI186" s="255"/>
      <c r="AJ186" s="255"/>
      <c r="AK186" s="255"/>
      <c r="AL186" s="255"/>
      <c r="AM186" s="255"/>
      <c r="AN186" s="255"/>
      <c r="AO186" s="255"/>
      <c r="AP186" s="255"/>
      <c r="AQ186" s="255"/>
      <c r="AR186" s="255"/>
      <c r="AS186" s="255"/>
      <c r="AT186" s="255"/>
      <c r="AU186" s="255"/>
      <c r="AV186" s="255"/>
      <c r="AW186" s="255"/>
      <c r="AX186" s="255"/>
      <c r="AY186" s="255"/>
      <c r="AZ186" s="255"/>
      <c r="BA186" s="255"/>
      <c r="BB186" s="255"/>
      <c r="BC186" s="255"/>
      <c r="BD186" s="255"/>
      <c r="BE186" s="255"/>
      <c r="BF186" s="255"/>
      <c r="BG186" s="255"/>
      <c r="BH186" s="255"/>
      <c r="BI186" s="255"/>
      <c r="BJ186" s="255"/>
      <c r="BK186" s="255"/>
      <c r="BL186" s="255"/>
      <c r="BM186" s="255"/>
      <c r="BN186" s="255"/>
      <c r="BO186" s="255"/>
      <c r="BP186" s="255"/>
      <c r="BQ186" s="255"/>
      <c r="BR186" s="255"/>
      <c r="BS186" s="255"/>
    </row>
    <row r="187" spans="1:71" x14ac:dyDescent="0.25">
      <c r="A187" s="255"/>
      <c r="B187" s="255"/>
      <c r="C187" s="239" t="s">
        <v>160</v>
      </c>
      <c r="D187" s="239" t="s">
        <v>45</v>
      </c>
      <c r="E187" s="239" t="s">
        <v>225</v>
      </c>
      <c r="F187" s="239" t="s">
        <v>226</v>
      </c>
      <c r="G187" s="239" t="s">
        <v>428</v>
      </c>
      <c r="H187" s="239" t="s">
        <v>227</v>
      </c>
      <c r="I187" s="239" t="s">
        <v>427</v>
      </c>
      <c r="J187" s="240"/>
      <c r="K187" s="239" t="s">
        <v>209</v>
      </c>
      <c r="L187" s="239" t="s">
        <v>229</v>
      </c>
      <c r="M187" s="239" t="s">
        <v>230</v>
      </c>
      <c r="N187" s="255"/>
      <c r="O187" s="255"/>
      <c r="P187" s="255"/>
      <c r="Q187" s="255"/>
      <c r="R187" s="255"/>
      <c r="S187" s="255"/>
      <c r="T187" s="255"/>
      <c r="U187" s="255"/>
      <c r="V187" s="255"/>
      <c r="W187" s="255"/>
      <c r="X187" s="255"/>
      <c r="Y187" s="255"/>
      <c r="Z187" s="255"/>
      <c r="AA187" s="255"/>
      <c r="AB187" s="255"/>
      <c r="AC187" s="255"/>
      <c r="AD187" s="255"/>
      <c r="AE187" s="255"/>
      <c r="AF187" s="255"/>
      <c r="AG187" s="255"/>
      <c r="AH187" s="255"/>
      <c r="AI187" s="255"/>
      <c r="AJ187" s="255"/>
      <c r="AK187" s="255"/>
      <c r="AL187" s="255"/>
      <c r="AM187" s="255"/>
      <c r="AN187" s="255"/>
      <c r="AO187" s="255"/>
      <c r="AP187" s="255"/>
      <c r="AQ187" s="255"/>
      <c r="AR187" s="255"/>
      <c r="AS187" s="255"/>
      <c r="AT187" s="255"/>
      <c r="AU187" s="255"/>
      <c r="AV187" s="255"/>
      <c r="AW187" s="255"/>
      <c r="AX187" s="255"/>
      <c r="AY187" s="255"/>
      <c r="AZ187" s="255"/>
      <c r="BA187" s="255"/>
      <c r="BB187" s="255"/>
      <c r="BC187" s="255"/>
      <c r="BD187" s="255"/>
      <c r="BE187" s="255"/>
      <c r="BF187" s="255"/>
      <c r="BG187" s="255"/>
      <c r="BH187" s="255"/>
      <c r="BI187" s="255"/>
      <c r="BJ187" s="255"/>
      <c r="BK187" s="255"/>
      <c r="BL187" s="255"/>
      <c r="BM187" s="255"/>
      <c r="BN187" s="255"/>
      <c r="BO187" s="255"/>
      <c r="BP187" s="255"/>
      <c r="BQ187" s="255"/>
      <c r="BR187" s="255"/>
      <c r="BS187" s="255"/>
    </row>
    <row r="188" spans="1:71" x14ac:dyDescent="0.25">
      <c r="A188" s="255"/>
      <c r="B188" s="239" t="s">
        <v>237</v>
      </c>
      <c r="C188" s="342">
        <f>E122</f>
        <v>0.6</v>
      </c>
      <c r="D188" s="342">
        <f>C183</f>
        <v>273</v>
      </c>
      <c r="E188" s="272">
        <v>9.81</v>
      </c>
      <c r="F188" s="315">
        <v>0.9</v>
      </c>
      <c r="G188" s="287">
        <f>H184</f>
        <v>1152.06</v>
      </c>
      <c r="H188" s="238">
        <f>F188*G188</f>
        <v>1036.854</v>
      </c>
      <c r="I188" s="315">
        <v>0</v>
      </c>
      <c r="K188" s="238">
        <f>C188*(D188*E188-H188)+I188</f>
        <v>984.76559999999995</v>
      </c>
      <c r="L188" s="287">
        <f>H183</f>
        <v>704.34</v>
      </c>
      <c r="N188" s="255"/>
      <c r="O188" s="255"/>
      <c r="P188" s="255"/>
      <c r="Q188" s="255"/>
      <c r="R188" s="255"/>
      <c r="S188" s="255"/>
      <c r="T188" s="255"/>
      <c r="U188" s="255"/>
      <c r="V188" s="255"/>
      <c r="W188" s="255"/>
      <c r="X188" s="255"/>
      <c r="Y188" s="255"/>
      <c r="Z188" s="255"/>
      <c r="AA188" s="255"/>
      <c r="AB188" s="255"/>
      <c r="AC188" s="255"/>
      <c r="AD188" s="255"/>
      <c r="AE188" s="255"/>
      <c r="AF188" s="255"/>
      <c r="AG188" s="255"/>
      <c r="AH188" s="255"/>
      <c r="AI188" s="255"/>
      <c r="AJ188" s="255"/>
      <c r="AK188" s="255"/>
      <c r="AL188" s="255"/>
      <c r="AM188" s="255"/>
      <c r="AN188" s="255"/>
      <c r="AO188" s="255"/>
      <c r="AP188" s="255"/>
      <c r="AQ188" s="255"/>
      <c r="AR188" s="255"/>
      <c r="AS188" s="255"/>
      <c r="AT188" s="255"/>
      <c r="AU188" s="255"/>
      <c r="AV188" s="255"/>
      <c r="AW188" s="255"/>
      <c r="AX188" s="255"/>
      <c r="AY188" s="255"/>
      <c r="AZ188" s="255"/>
      <c r="BA188" s="255"/>
      <c r="BB188" s="255"/>
      <c r="BC188" s="255"/>
      <c r="BD188" s="255"/>
      <c r="BE188" s="255"/>
      <c r="BF188" s="255"/>
      <c r="BG188" s="255"/>
      <c r="BH188" s="255"/>
      <c r="BI188" s="255"/>
      <c r="BJ188" s="255"/>
      <c r="BK188" s="255"/>
      <c r="BL188" s="255"/>
      <c r="BM188" s="255"/>
      <c r="BN188" s="255"/>
      <c r="BO188" s="255"/>
      <c r="BP188" s="255"/>
      <c r="BQ188" s="255"/>
      <c r="BR188" s="255"/>
      <c r="BS188" s="255"/>
    </row>
    <row r="189" spans="1:71" x14ac:dyDescent="0.25">
      <c r="A189" s="255"/>
      <c r="B189" s="239" t="s">
        <v>238</v>
      </c>
      <c r="C189" s="342">
        <f>E122</f>
        <v>0.6</v>
      </c>
      <c r="D189" s="342">
        <f>C184</f>
        <v>273</v>
      </c>
      <c r="E189" s="272">
        <v>9.81</v>
      </c>
      <c r="F189" s="315">
        <v>0.9</v>
      </c>
      <c r="G189" s="287">
        <f>H184</f>
        <v>1152.06</v>
      </c>
      <c r="H189" s="238">
        <f>F189*G189</f>
        <v>1036.854</v>
      </c>
      <c r="I189" s="315"/>
      <c r="K189" s="238">
        <f>C189*(D189*E189-H189)+I189</f>
        <v>984.76559999999995</v>
      </c>
      <c r="L189" s="287">
        <f>H183</f>
        <v>704.34</v>
      </c>
      <c r="N189" s="255"/>
      <c r="O189" s="255"/>
      <c r="P189" s="255"/>
      <c r="Q189" s="255"/>
      <c r="R189" s="255"/>
      <c r="S189" s="255"/>
      <c r="T189" s="255"/>
      <c r="U189" s="255"/>
      <c r="V189" s="255"/>
      <c r="W189" s="255"/>
      <c r="X189" s="255"/>
      <c r="Y189" s="255"/>
      <c r="Z189" s="255"/>
      <c r="AA189" s="255"/>
      <c r="AB189" s="255"/>
      <c r="AC189" s="255"/>
      <c r="AD189" s="255"/>
      <c r="AE189" s="255"/>
      <c r="AF189" s="255"/>
      <c r="AG189" s="255"/>
      <c r="AH189" s="255"/>
      <c r="AI189" s="255"/>
      <c r="AJ189" s="255"/>
      <c r="AK189" s="255"/>
      <c r="AL189" s="255"/>
      <c r="AM189" s="255"/>
      <c r="AN189" s="255"/>
      <c r="AO189" s="255"/>
      <c r="AP189" s="255"/>
      <c r="AQ189" s="255"/>
      <c r="AR189" s="255"/>
      <c r="AS189" s="255"/>
      <c r="AT189" s="255"/>
      <c r="AU189" s="255"/>
      <c r="AV189" s="255"/>
      <c r="AW189" s="255"/>
      <c r="AX189" s="255"/>
      <c r="AY189" s="255"/>
      <c r="AZ189" s="255"/>
      <c r="BA189" s="255"/>
      <c r="BB189" s="255"/>
      <c r="BC189" s="255"/>
      <c r="BD189" s="255"/>
      <c r="BE189" s="255"/>
      <c r="BF189" s="255"/>
      <c r="BG189" s="255"/>
      <c r="BH189" s="255"/>
      <c r="BI189" s="255"/>
      <c r="BJ189" s="255"/>
      <c r="BK189" s="255"/>
      <c r="BL189" s="255"/>
      <c r="BM189" s="255"/>
      <c r="BN189" s="255"/>
      <c r="BO189" s="255"/>
      <c r="BP189" s="255"/>
      <c r="BQ189" s="255"/>
      <c r="BR189" s="255"/>
      <c r="BS189" s="255"/>
    </row>
    <row r="190" spans="1:71" x14ac:dyDescent="0.25">
      <c r="A190" s="255"/>
      <c r="B190" s="255"/>
      <c r="C190" s="255"/>
      <c r="D190" s="255"/>
      <c r="E190" s="255"/>
      <c r="F190" s="255"/>
      <c r="G190" s="255"/>
      <c r="H190" s="255"/>
      <c r="I190" s="255"/>
      <c r="J190" s="255"/>
      <c r="K190" s="255"/>
      <c r="L190" s="255"/>
      <c r="M190" s="255"/>
      <c r="N190" s="255"/>
      <c r="O190" s="255"/>
      <c r="P190" s="255"/>
      <c r="Q190" s="255"/>
      <c r="R190" s="255"/>
      <c r="S190" s="255"/>
      <c r="T190" s="255"/>
      <c r="U190" s="255"/>
      <c r="V190" s="255"/>
      <c r="W190" s="255"/>
      <c r="X190" s="255"/>
      <c r="Y190" s="255"/>
      <c r="Z190" s="255"/>
      <c r="AA190" s="255"/>
      <c r="AB190" s="255"/>
      <c r="AC190" s="255"/>
      <c r="AD190" s="255"/>
      <c r="AE190" s="255"/>
      <c r="AF190" s="255"/>
      <c r="AG190" s="255"/>
      <c r="AH190" s="255"/>
      <c r="AI190" s="255"/>
      <c r="AJ190" s="255"/>
      <c r="AK190" s="255"/>
      <c r="AL190" s="255"/>
      <c r="AM190" s="255"/>
      <c r="AN190" s="255"/>
      <c r="AO190" s="255"/>
      <c r="AP190" s="255"/>
      <c r="AQ190" s="255"/>
      <c r="AR190" s="255"/>
      <c r="AS190" s="255"/>
      <c r="AT190" s="255"/>
      <c r="AU190" s="255"/>
      <c r="AV190" s="255"/>
      <c r="AW190" s="255"/>
      <c r="AX190" s="255"/>
      <c r="AY190" s="255"/>
      <c r="AZ190" s="255"/>
      <c r="BA190" s="255"/>
      <c r="BB190" s="255"/>
      <c r="BC190" s="255"/>
      <c r="BD190" s="255"/>
      <c r="BE190" s="255"/>
      <c r="BF190" s="255"/>
      <c r="BG190" s="255"/>
      <c r="BH190" s="255"/>
      <c r="BI190" s="255"/>
      <c r="BJ190" s="255"/>
      <c r="BK190" s="255"/>
      <c r="BL190" s="255"/>
      <c r="BM190" s="255"/>
      <c r="BN190" s="255"/>
      <c r="BO190" s="255"/>
      <c r="BP190" s="255"/>
      <c r="BQ190" s="255"/>
      <c r="BR190" s="255"/>
      <c r="BS190" s="255"/>
    </row>
    <row r="191" spans="1:71" x14ac:dyDescent="0.25">
      <c r="A191" s="255"/>
      <c r="B191" s="239" t="s">
        <v>436</v>
      </c>
      <c r="C191" s="240"/>
      <c r="D191" s="255"/>
      <c r="E191" s="255"/>
      <c r="F191" s="255"/>
      <c r="G191" s="255"/>
      <c r="H191" s="255"/>
      <c r="I191" s="255"/>
      <c r="J191" s="255"/>
      <c r="K191" s="255"/>
      <c r="L191" s="255"/>
      <c r="M191" s="255"/>
      <c r="N191" s="255"/>
      <c r="O191" s="255"/>
      <c r="P191" s="255"/>
      <c r="Q191" s="255"/>
      <c r="R191" s="255"/>
      <c r="S191" s="255"/>
      <c r="T191" s="255"/>
      <c r="U191" s="255"/>
      <c r="V191" s="255"/>
      <c r="W191" s="255"/>
      <c r="X191" s="255"/>
      <c r="Y191" s="255"/>
      <c r="Z191" s="255"/>
      <c r="AA191" s="255"/>
      <c r="AB191" s="255"/>
      <c r="AC191" s="255"/>
      <c r="AD191" s="255"/>
      <c r="AE191" s="255"/>
      <c r="AF191" s="255"/>
      <c r="AG191" s="255"/>
      <c r="AH191" s="255"/>
      <c r="AI191" s="255"/>
      <c r="AJ191" s="255"/>
      <c r="AK191" s="255"/>
      <c r="AL191" s="255"/>
      <c r="AM191" s="255"/>
      <c r="AN191" s="255"/>
      <c r="AO191" s="255"/>
      <c r="AP191" s="255"/>
      <c r="AQ191" s="255"/>
      <c r="AR191" s="255"/>
      <c r="AS191" s="255"/>
      <c r="AT191" s="255"/>
      <c r="AU191" s="255"/>
      <c r="AV191" s="255"/>
      <c r="AW191" s="255"/>
      <c r="AX191" s="255"/>
      <c r="AY191" s="255"/>
      <c r="AZ191" s="255"/>
      <c r="BA191" s="255"/>
      <c r="BB191" s="255"/>
      <c r="BC191" s="255"/>
      <c r="BD191" s="255"/>
      <c r="BE191" s="255"/>
      <c r="BF191" s="255"/>
      <c r="BG191" s="255"/>
      <c r="BH191" s="255"/>
      <c r="BI191" s="255"/>
      <c r="BJ191" s="255"/>
      <c r="BK191" s="255"/>
      <c r="BL191" s="255"/>
      <c r="BM191" s="255"/>
      <c r="BN191" s="255"/>
      <c r="BO191" s="255"/>
      <c r="BP191" s="255"/>
      <c r="BQ191" s="255"/>
      <c r="BR191" s="255"/>
      <c r="BS191" s="255"/>
    </row>
    <row r="192" spans="1:71" x14ac:dyDescent="0.25">
      <c r="A192" s="255"/>
      <c r="B192" s="255"/>
      <c r="C192" s="239" t="s">
        <v>439</v>
      </c>
      <c r="D192" s="239" t="s">
        <v>455</v>
      </c>
      <c r="E192" s="239" t="s">
        <v>457</v>
      </c>
      <c r="F192" s="239" t="s">
        <v>458</v>
      </c>
      <c r="G192" s="239" t="s">
        <v>456</v>
      </c>
      <c r="H192" s="239" t="s">
        <v>440</v>
      </c>
      <c r="I192" s="239" t="s">
        <v>186</v>
      </c>
      <c r="J192" s="239"/>
      <c r="K192" s="239" t="s">
        <v>194</v>
      </c>
      <c r="L192" s="239" t="s">
        <v>441</v>
      </c>
      <c r="M192" s="255"/>
      <c r="N192" s="255"/>
      <c r="O192" s="255"/>
      <c r="P192" s="255"/>
      <c r="Q192" s="255"/>
      <c r="R192" s="255"/>
      <c r="S192" s="255"/>
      <c r="T192" s="255"/>
      <c r="U192" s="255"/>
      <c r="V192" s="255"/>
      <c r="W192" s="255"/>
      <c r="X192" s="255"/>
      <c r="Y192" s="255"/>
      <c r="Z192" s="255"/>
      <c r="AA192" s="255"/>
      <c r="AB192" s="255"/>
      <c r="AC192" s="255"/>
      <c r="AD192" s="255"/>
      <c r="AE192" s="255"/>
      <c r="AF192" s="255"/>
      <c r="AG192" s="255"/>
      <c r="AH192" s="255"/>
      <c r="AI192" s="255"/>
      <c r="AJ192" s="255"/>
      <c r="AK192" s="255"/>
      <c r="AL192" s="255"/>
      <c r="AM192" s="255"/>
      <c r="AN192" s="255"/>
      <c r="AO192" s="255"/>
      <c r="AP192" s="255"/>
      <c r="AQ192" s="255"/>
      <c r="AR192" s="255"/>
      <c r="AS192" s="255"/>
      <c r="AT192" s="255"/>
      <c r="AU192" s="255"/>
      <c r="AV192" s="255"/>
      <c r="AW192" s="255"/>
      <c r="AX192" s="255"/>
      <c r="AY192" s="255"/>
      <c r="AZ192" s="255"/>
      <c r="BA192" s="255"/>
      <c r="BB192" s="255"/>
      <c r="BC192" s="255"/>
      <c r="BD192" s="255"/>
      <c r="BE192" s="255"/>
      <c r="BF192" s="255"/>
      <c r="BG192" s="255"/>
      <c r="BH192" s="255"/>
      <c r="BI192" s="255"/>
      <c r="BJ192" s="255"/>
      <c r="BK192" s="255"/>
      <c r="BL192" s="255"/>
      <c r="BM192" s="255"/>
      <c r="BN192" s="255"/>
      <c r="BO192" s="255"/>
      <c r="BP192" s="255"/>
      <c r="BQ192" s="255"/>
      <c r="BR192" s="255"/>
      <c r="BS192" s="255"/>
    </row>
    <row r="193" spans="1:71" x14ac:dyDescent="0.25">
      <c r="A193" s="255"/>
      <c r="B193" s="239" t="s">
        <v>437</v>
      </c>
      <c r="C193" s="315"/>
      <c r="D193" s="315"/>
      <c r="E193" s="315"/>
      <c r="F193" s="315"/>
      <c r="G193" s="315"/>
      <c r="H193" s="272">
        <v>8.3000000000000007</v>
      </c>
      <c r="I193" s="238"/>
      <c r="J193" s="240"/>
      <c r="K193" s="272">
        <v>1.5</v>
      </c>
      <c r="L193" s="238"/>
      <c r="M193" s="255"/>
      <c r="N193" s="255"/>
      <c r="O193" s="255"/>
      <c r="P193" s="255"/>
      <c r="Q193" s="255"/>
      <c r="R193" s="255"/>
      <c r="S193" s="255"/>
      <c r="T193" s="255"/>
      <c r="U193" s="255"/>
      <c r="V193" s="255"/>
      <c r="W193" s="255"/>
      <c r="X193" s="255"/>
      <c r="Y193" s="255"/>
      <c r="Z193" s="255"/>
      <c r="AA193" s="255"/>
      <c r="AB193" s="255"/>
      <c r="AC193" s="255"/>
      <c r="AD193" s="255"/>
      <c r="AE193" s="255"/>
      <c r="AF193" s="255"/>
      <c r="AG193" s="255"/>
      <c r="AH193" s="255"/>
      <c r="AI193" s="255"/>
      <c r="AJ193" s="255"/>
      <c r="AK193" s="255"/>
      <c r="AL193" s="255"/>
      <c r="AM193" s="255"/>
      <c r="AN193" s="255"/>
      <c r="AO193" s="255"/>
      <c r="AP193" s="255"/>
      <c r="AQ193" s="255"/>
      <c r="AR193" s="255"/>
      <c r="AS193" s="255"/>
      <c r="AT193" s="255"/>
      <c r="AU193" s="255"/>
      <c r="AV193" s="255"/>
      <c r="AW193" s="255"/>
      <c r="AX193" s="255"/>
      <c r="AY193" s="255"/>
      <c r="AZ193" s="255"/>
      <c r="BA193" s="255"/>
      <c r="BB193" s="255"/>
      <c r="BC193" s="255"/>
      <c r="BD193" s="255"/>
      <c r="BE193" s="255"/>
      <c r="BF193" s="255"/>
      <c r="BG193" s="255"/>
      <c r="BH193" s="255"/>
      <c r="BI193" s="255"/>
      <c r="BJ193" s="255"/>
      <c r="BK193" s="255"/>
      <c r="BL193" s="255"/>
      <c r="BM193" s="255"/>
      <c r="BN193" s="255"/>
      <c r="BO193" s="255"/>
      <c r="BP193" s="255"/>
      <c r="BQ193" s="255"/>
      <c r="BR193" s="255"/>
      <c r="BS193" s="255"/>
    </row>
    <row r="194" spans="1:71" x14ac:dyDescent="0.25">
      <c r="A194" s="255"/>
      <c r="B194" s="239" t="s">
        <v>438</v>
      </c>
      <c r="C194" s="315"/>
      <c r="D194" s="315"/>
      <c r="E194" s="315"/>
      <c r="F194" s="315"/>
      <c r="G194" s="315"/>
      <c r="H194" s="272">
        <v>8.3000000000000007</v>
      </c>
      <c r="I194" s="238"/>
      <c r="J194" s="240"/>
      <c r="K194" s="272">
        <v>1.5</v>
      </c>
      <c r="L194" s="238"/>
      <c r="M194" s="255"/>
      <c r="N194" s="255"/>
      <c r="O194" s="255"/>
      <c r="P194" s="255"/>
      <c r="Q194" s="255"/>
      <c r="R194" s="255"/>
      <c r="S194" s="255"/>
      <c r="T194" s="255"/>
      <c r="U194" s="255"/>
      <c r="V194" s="255"/>
      <c r="W194" s="255"/>
      <c r="X194" s="255"/>
      <c r="Y194" s="255"/>
      <c r="Z194" s="255"/>
      <c r="AA194" s="255"/>
      <c r="AB194" s="255"/>
      <c r="AC194" s="255"/>
      <c r="AD194" s="255"/>
      <c r="AE194" s="255"/>
      <c r="AF194" s="255"/>
      <c r="AG194" s="255"/>
      <c r="AH194" s="255"/>
      <c r="AI194" s="255"/>
      <c r="AJ194" s="255"/>
      <c r="AK194" s="255"/>
      <c r="AL194" s="255"/>
      <c r="AM194" s="255"/>
      <c r="AN194" s="255"/>
      <c r="AO194" s="255"/>
      <c r="AP194" s="255"/>
      <c r="AQ194" s="255"/>
      <c r="AR194" s="255"/>
      <c r="AS194" s="255"/>
      <c r="AT194" s="255"/>
      <c r="AU194" s="255"/>
      <c r="AV194" s="255"/>
      <c r="AW194" s="255"/>
      <c r="AX194" s="255"/>
      <c r="AY194" s="255"/>
      <c r="AZ194" s="255"/>
      <c r="BA194" s="255"/>
      <c r="BB194" s="255"/>
      <c r="BC194" s="255"/>
      <c r="BD194" s="255"/>
      <c r="BE194" s="255"/>
      <c r="BF194" s="255"/>
      <c r="BG194" s="255"/>
      <c r="BH194" s="255"/>
      <c r="BI194" s="255"/>
      <c r="BJ194" s="255"/>
      <c r="BK194" s="255"/>
      <c r="BL194" s="255"/>
      <c r="BM194" s="255"/>
      <c r="BN194" s="255"/>
      <c r="BO194" s="255"/>
      <c r="BP194" s="255"/>
      <c r="BQ194" s="255"/>
      <c r="BR194" s="255"/>
      <c r="BS194" s="255"/>
    </row>
    <row r="195" spans="1:71" x14ac:dyDescent="0.25">
      <c r="A195" s="255"/>
      <c r="B195" s="239" t="s">
        <v>405</v>
      </c>
      <c r="C195" s="315"/>
      <c r="D195" s="315">
        <v>200</v>
      </c>
      <c r="E195" s="315"/>
      <c r="F195" s="315"/>
      <c r="G195" s="315">
        <v>0.4</v>
      </c>
      <c r="H195" s="272">
        <v>8.3000000000000007</v>
      </c>
      <c r="I195" s="238">
        <f>TRUNC(D195*G195*H195,2)</f>
        <v>664</v>
      </c>
      <c r="J195" s="240"/>
      <c r="K195" s="272">
        <v>1.5</v>
      </c>
      <c r="L195" s="238">
        <f>TRUNC(I195/K195,2)</f>
        <v>442.66</v>
      </c>
      <c r="M195" s="255"/>
      <c r="N195" s="255"/>
      <c r="O195" s="255"/>
      <c r="P195" s="255"/>
      <c r="Q195" s="255"/>
      <c r="R195" s="255"/>
      <c r="S195" s="255"/>
      <c r="T195" s="255"/>
      <c r="U195" s="255"/>
      <c r="V195" s="255"/>
      <c r="W195" s="255"/>
      <c r="X195" s="255"/>
      <c r="Y195" s="255"/>
      <c r="Z195" s="255"/>
      <c r="AA195" s="255"/>
      <c r="AB195" s="255"/>
      <c r="AC195" s="255"/>
      <c r="AD195" s="255"/>
      <c r="AE195" s="255"/>
      <c r="AF195" s="255"/>
      <c r="AG195" s="255"/>
      <c r="AH195" s="255"/>
      <c r="AI195" s="255"/>
      <c r="AJ195" s="255"/>
      <c r="AK195" s="255"/>
      <c r="AL195" s="255"/>
      <c r="AM195" s="255"/>
      <c r="AN195" s="255"/>
      <c r="AO195" s="255"/>
      <c r="AP195" s="255"/>
      <c r="AQ195" s="255"/>
      <c r="AR195" s="255"/>
      <c r="AS195" s="255"/>
      <c r="AT195" s="255"/>
      <c r="AU195" s="255"/>
      <c r="AV195" s="255"/>
      <c r="AW195" s="255"/>
      <c r="AX195" s="255"/>
      <c r="AY195" s="255"/>
      <c r="AZ195" s="255"/>
      <c r="BA195" s="255"/>
      <c r="BB195" s="255"/>
      <c r="BC195" s="255"/>
      <c r="BD195" s="255"/>
      <c r="BE195" s="255"/>
      <c r="BF195" s="255"/>
      <c r="BG195" s="255"/>
      <c r="BH195" s="255"/>
      <c r="BI195" s="255"/>
      <c r="BJ195" s="255"/>
      <c r="BK195" s="255"/>
      <c r="BL195" s="255"/>
      <c r="BM195" s="255"/>
      <c r="BN195" s="255"/>
      <c r="BO195" s="255"/>
      <c r="BP195" s="255"/>
      <c r="BQ195" s="255"/>
      <c r="BR195" s="255"/>
      <c r="BS195" s="255"/>
    </row>
    <row r="196" spans="1:71" x14ac:dyDescent="0.25">
      <c r="A196" s="255"/>
      <c r="B196" s="239" t="s">
        <v>406</v>
      </c>
      <c r="C196" s="315"/>
      <c r="D196" s="315">
        <v>200</v>
      </c>
      <c r="E196" s="315"/>
      <c r="F196" s="315"/>
      <c r="G196" s="315">
        <v>0.4</v>
      </c>
      <c r="H196" s="272">
        <v>8.3000000000000007</v>
      </c>
      <c r="I196" s="238">
        <f>TRUNC(D196*G196*H196,2)</f>
        <v>664</v>
      </c>
      <c r="J196" s="240"/>
      <c r="K196" s="272">
        <v>1.5</v>
      </c>
      <c r="L196" s="238">
        <f>TRUNC(I196/K196,2)</f>
        <v>442.66</v>
      </c>
      <c r="M196" s="255"/>
      <c r="N196" s="255"/>
      <c r="O196" s="255"/>
      <c r="P196" s="255"/>
      <c r="Q196" s="255"/>
      <c r="R196" s="255"/>
      <c r="S196" s="255"/>
      <c r="T196" s="255"/>
      <c r="U196" s="255"/>
      <c r="V196" s="255"/>
      <c r="W196" s="255"/>
      <c r="X196" s="255"/>
      <c r="Y196" s="255"/>
      <c r="Z196" s="255"/>
      <c r="AA196" s="255"/>
      <c r="AB196" s="255"/>
      <c r="AC196" s="255"/>
      <c r="AD196" s="255"/>
      <c r="AE196" s="255"/>
      <c r="AF196" s="255"/>
      <c r="AG196" s="255"/>
      <c r="AH196" s="255"/>
      <c r="AI196" s="255"/>
      <c r="AJ196" s="255"/>
      <c r="AK196" s="255"/>
      <c r="AL196" s="255"/>
      <c r="AM196" s="255"/>
      <c r="AN196" s="255"/>
      <c r="AO196" s="255"/>
      <c r="AP196" s="255"/>
      <c r="AQ196" s="255"/>
      <c r="AR196" s="255"/>
      <c r="AS196" s="255"/>
      <c r="AT196" s="255"/>
      <c r="AU196" s="255"/>
      <c r="AV196" s="255"/>
      <c r="AW196" s="255"/>
      <c r="AX196" s="255"/>
      <c r="AY196" s="255"/>
      <c r="AZ196" s="255"/>
      <c r="BA196" s="255"/>
      <c r="BB196" s="255"/>
      <c r="BC196" s="255"/>
      <c r="BD196" s="255"/>
      <c r="BE196" s="255"/>
      <c r="BF196" s="255"/>
      <c r="BG196" s="255"/>
      <c r="BH196" s="255"/>
      <c r="BI196" s="255"/>
      <c r="BJ196" s="255"/>
      <c r="BK196" s="255"/>
      <c r="BL196" s="255"/>
      <c r="BM196" s="255"/>
      <c r="BN196" s="255"/>
      <c r="BO196" s="255"/>
      <c r="BP196" s="255"/>
      <c r="BQ196" s="255"/>
      <c r="BR196" s="255"/>
      <c r="BS196" s="255"/>
    </row>
    <row r="197" spans="1:71" x14ac:dyDescent="0.25">
      <c r="A197" s="255"/>
      <c r="B197" s="255"/>
      <c r="C197" s="255"/>
      <c r="D197" s="255"/>
      <c r="E197" s="255"/>
      <c r="F197" s="255"/>
      <c r="G197" s="255"/>
      <c r="H197" s="255"/>
      <c r="I197" s="255"/>
      <c r="J197" s="255"/>
      <c r="K197" s="255"/>
      <c r="L197" s="255"/>
      <c r="M197" s="255"/>
      <c r="N197" s="255"/>
      <c r="O197" s="255"/>
      <c r="P197" s="255"/>
      <c r="Q197" s="255"/>
      <c r="R197" s="255"/>
      <c r="S197" s="255"/>
      <c r="T197" s="255"/>
      <c r="U197" s="255"/>
      <c r="V197" s="255"/>
      <c r="W197" s="255"/>
      <c r="X197" s="255"/>
      <c r="Y197" s="255"/>
      <c r="Z197" s="255"/>
      <c r="AA197" s="255"/>
      <c r="AB197" s="255"/>
      <c r="AC197" s="255"/>
      <c r="AD197" s="255"/>
      <c r="AE197" s="255"/>
      <c r="AF197" s="255"/>
      <c r="AG197" s="255"/>
      <c r="AH197" s="255"/>
      <c r="AI197" s="255"/>
      <c r="AJ197" s="255"/>
      <c r="AK197" s="255"/>
      <c r="AL197" s="255"/>
      <c r="AM197" s="255"/>
      <c r="AN197" s="255"/>
      <c r="AO197" s="255"/>
      <c r="AP197" s="255"/>
      <c r="AQ197" s="255"/>
      <c r="AR197" s="255"/>
      <c r="AS197" s="255"/>
      <c r="AT197" s="255"/>
      <c r="AU197" s="255"/>
      <c r="AV197" s="255"/>
      <c r="AW197" s="255"/>
      <c r="AX197" s="255"/>
      <c r="AY197" s="255"/>
      <c r="AZ197" s="255"/>
      <c r="BA197" s="255"/>
      <c r="BB197" s="255"/>
      <c r="BC197" s="255"/>
      <c r="BD197" s="255"/>
      <c r="BE197" s="255"/>
      <c r="BF197" s="255"/>
      <c r="BG197" s="255"/>
      <c r="BH197" s="255"/>
      <c r="BI197" s="255"/>
      <c r="BJ197" s="255"/>
      <c r="BK197" s="255"/>
      <c r="BL197" s="255"/>
      <c r="BM197" s="255"/>
      <c r="BN197" s="255"/>
      <c r="BO197" s="255"/>
      <c r="BP197" s="255"/>
      <c r="BQ197" s="255"/>
      <c r="BR197" s="255"/>
      <c r="BS197" s="255"/>
    </row>
    <row r="198" spans="1:71" x14ac:dyDescent="0.25">
      <c r="A198" s="255"/>
      <c r="B198" s="255"/>
      <c r="C198" s="255"/>
      <c r="D198" s="255"/>
      <c r="E198" s="255"/>
      <c r="F198" s="255"/>
      <c r="G198" s="255"/>
      <c r="H198" s="255"/>
      <c r="I198" s="255"/>
      <c r="J198" s="255"/>
      <c r="K198" s="255"/>
      <c r="L198" s="255"/>
      <c r="M198" s="255"/>
      <c r="N198" s="255"/>
      <c r="O198" s="255"/>
      <c r="P198" s="255"/>
      <c r="Q198" s="255"/>
      <c r="R198" s="255"/>
      <c r="S198" s="255"/>
      <c r="T198" s="255"/>
      <c r="U198" s="255"/>
      <c r="V198" s="255"/>
      <c r="W198" s="255"/>
      <c r="X198" s="255"/>
      <c r="Y198" s="255"/>
      <c r="Z198" s="255"/>
      <c r="AA198" s="255"/>
      <c r="AB198" s="255"/>
      <c r="AC198" s="255"/>
      <c r="AD198" s="255"/>
      <c r="AE198" s="255"/>
      <c r="AF198" s="255"/>
      <c r="AG198" s="255"/>
      <c r="AH198" s="255"/>
      <c r="AI198" s="255"/>
      <c r="AJ198" s="255"/>
      <c r="AK198" s="255"/>
      <c r="AL198" s="255"/>
      <c r="AM198" s="255"/>
      <c r="AN198" s="255"/>
      <c r="AO198" s="255"/>
      <c r="AP198" s="255"/>
      <c r="AQ198" s="255"/>
      <c r="AR198" s="255"/>
      <c r="AS198" s="255"/>
      <c r="AT198" s="255"/>
      <c r="AU198" s="255"/>
      <c r="AV198" s="255"/>
      <c r="AW198" s="255"/>
      <c r="AX198" s="255"/>
      <c r="AY198" s="255"/>
      <c r="AZ198" s="255"/>
      <c r="BA198" s="255"/>
      <c r="BB198" s="255"/>
      <c r="BC198" s="255"/>
      <c r="BD198" s="255"/>
      <c r="BE198" s="255"/>
      <c r="BF198" s="255"/>
      <c r="BG198" s="255"/>
      <c r="BH198" s="255"/>
      <c r="BI198" s="255"/>
      <c r="BJ198" s="255"/>
      <c r="BK198" s="255"/>
      <c r="BL198" s="255"/>
      <c r="BM198" s="255"/>
      <c r="BN198" s="255"/>
      <c r="BO198" s="255"/>
      <c r="BP198" s="255"/>
      <c r="BQ198" s="255"/>
      <c r="BR198" s="255"/>
      <c r="BS198" s="255"/>
    </row>
    <row r="199" spans="1:71" x14ac:dyDescent="0.25">
      <c r="A199" s="255"/>
      <c r="B199" s="340" t="s">
        <v>442</v>
      </c>
      <c r="C199" s="337"/>
      <c r="D199" s="255"/>
      <c r="E199" s="265"/>
      <c r="F199" s="255"/>
      <c r="G199" s="255"/>
      <c r="H199" s="255"/>
      <c r="I199" s="255"/>
      <c r="J199" s="255"/>
      <c r="K199" s="255"/>
      <c r="L199" s="255"/>
      <c r="M199" s="255"/>
      <c r="N199" s="255"/>
      <c r="O199" s="255"/>
      <c r="P199" s="255"/>
      <c r="Q199" s="255"/>
      <c r="R199" s="255"/>
      <c r="S199" s="255"/>
      <c r="T199" s="255"/>
      <c r="U199" s="255"/>
      <c r="V199" s="255"/>
      <c r="W199" s="255"/>
      <c r="X199" s="255"/>
      <c r="Y199" s="255"/>
      <c r="Z199" s="255"/>
      <c r="AA199" s="255"/>
      <c r="AB199" s="255"/>
      <c r="AC199" s="255"/>
      <c r="AD199" s="255"/>
      <c r="AE199" s="255"/>
      <c r="AF199" s="255"/>
      <c r="AG199" s="255"/>
      <c r="AH199" s="255"/>
      <c r="AI199" s="255"/>
      <c r="AJ199" s="255"/>
      <c r="AK199" s="255"/>
      <c r="AL199" s="255"/>
      <c r="AM199" s="255"/>
      <c r="AN199" s="255"/>
      <c r="AO199" s="255"/>
      <c r="AP199" s="255"/>
      <c r="AQ199" s="255"/>
      <c r="AR199" s="255"/>
      <c r="AS199" s="255"/>
      <c r="AT199" s="255"/>
      <c r="AU199" s="255"/>
      <c r="AV199" s="255"/>
      <c r="AW199" s="255"/>
      <c r="AX199" s="255"/>
      <c r="AY199" s="255"/>
      <c r="AZ199" s="255"/>
      <c r="BA199" s="255"/>
      <c r="BB199" s="255"/>
      <c r="BC199" s="255"/>
      <c r="BD199" s="255"/>
      <c r="BE199" s="255"/>
      <c r="BF199" s="255"/>
      <c r="BG199" s="255"/>
      <c r="BH199" s="255"/>
      <c r="BI199" s="255"/>
      <c r="BJ199" s="255"/>
      <c r="BK199" s="255"/>
      <c r="BL199" s="255"/>
      <c r="BM199" s="255"/>
      <c r="BN199" s="255"/>
      <c r="BO199" s="255"/>
      <c r="BP199" s="255"/>
      <c r="BQ199" s="255"/>
      <c r="BR199" s="255"/>
      <c r="BS199" s="255"/>
    </row>
    <row r="200" spans="1:71" x14ac:dyDescent="0.25">
      <c r="A200" s="255"/>
      <c r="B200" s="255"/>
      <c r="C200" s="255"/>
      <c r="D200" s="255"/>
      <c r="E200" s="255"/>
      <c r="F200" s="255"/>
      <c r="G200" s="255"/>
      <c r="H200" s="255"/>
      <c r="I200" s="255"/>
      <c r="J200" s="255"/>
      <c r="K200" s="255"/>
      <c r="L200" s="255"/>
      <c r="M200" s="255"/>
      <c r="N200" s="255"/>
      <c r="O200" s="255"/>
      <c r="P200" s="255"/>
      <c r="Q200" s="255"/>
      <c r="R200" s="255"/>
      <c r="S200" s="255"/>
      <c r="T200" s="255"/>
      <c r="U200" s="255"/>
      <c r="V200" s="255"/>
      <c r="W200" s="255"/>
      <c r="X200" s="255"/>
      <c r="Y200" s="255"/>
      <c r="Z200" s="255"/>
      <c r="AA200" s="255"/>
      <c r="AB200" s="255"/>
      <c r="AC200" s="255"/>
      <c r="AD200" s="255"/>
      <c r="AE200" s="255"/>
      <c r="AF200" s="255"/>
      <c r="AG200" s="255"/>
      <c r="AH200" s="255"/>
      <c r="AI200" s="255"/>
      <c r="AJ200" s="255"/>
      <c r="AK200" s="255"/>
      <c r="AL200" s="255"/>
      <c r="AM200" s="255"/>
      <c r="AN200" s="255"/>
      <c r="AO200" s="255"/>
      <c r="AP200" s="255"/>
      <c r="AQ200" s="255"/>
      <c r="AR200" s="255"/>
      <c r="AS200" s="255"/>
      <c r="AT200" s="255"/>
      <c r="AU200" s="255"/>
      <c r="AV200" s="255"/>
      <c r="AW200" s="255"/>
      <c r="AX200" s="255"/>
      <c r="AY200" s="255"/>
      <c r="AZ200" s="255"/>
      <c r="BA200" s="255"/>
      <c r="BB200" s="255"/>
      <c r="BC200" s="255"/>
      <c r="BD200" s="255"/>
      <c r="BE200" s="255"/>
      <c r="BF200" s="255"/>
      <c r="BG200" s="255"/>
      <c r="BH200" s="255"/>
      <c r="BI200" s="255"/>
      <c r="BJ200" s="255"/>
      <c r="BK200" s="255"/>
      <c r="BL200" s="255"/>
      <c r="BM200" s="255"/>
      <c r="BN200" s="255"/>
      <c r="BO200" s="255"/>
      <c r="BP200" s="255"/>
      <c r="BQ200" s="255"/>
      <c r="BR200" s="255"/>
      <c r="BS200" s="255"/>
    </row>
    <row r="201" spans="1:71" x14ac:dyDescent="0.25">
      <c r="A201" s="255"/>
      <c r="B201" s="240" t="s">
        <v>149</v>
      </c>
      <c r="C201" s="255"/>
      <c r="D201" s="240" t="s">
        <v>156</v>
      </c>
      <c r="E201" s="255"/>
      <c r="F201" s="240" t="s">
        <v>164</v>
      </c>
      <c r="G201" s="240"/>
      <c r="H201" s="255"/>
      <c r="I201" s="255"/>
      <c r="J201" s="255"/>
      <c r="K201" s="255"/>
      <c r="L201" s="255"/>
      <c r="M201" s="255"/>
      <c r="N201" s="255"/>
      <c r="O201" s="255"/>
      <c r="P201" s="255"/>
      <c r="Q201" s="255"/>
      <c r="R201" s="255"/>
      <c r="S201" s="255"/>
      <c r="T201" s="255"/>
      <c r="U201" s="255"/>
      <c r="V201" s="255"/>
      <c r="W201" s="255"/>
      <c r="X201" s="255"/>
      <c r="Y201" s="255"/>
      <c r="Z201" s="255"/>
      <c r="AA201" s="255"/>
      <c r="AB201" s="255"/>
      <c r="AC201" s="255"/>
      <c r="AD201" s="255"/>
      <c r="AE201" s="255"/>
      <c r="AF201" s="255"/>
      <c r="AG201" s="255"/>
      <c r="AH201" s="255"/>
      <c r="AI201" s="255"/>
      <c r="AJ201" s="255"/>
      <c r="AK201" s="255"/>
      <c r="AL201" s="255"/>
      <c r="AM201" s="255"/>
      <c r="AN201" s="255"/>
      <c r="AO201" s="255"/>
      <c r="AP201" s="255"/>
      <c r="AQ201" s="255"/>
      <c r="AR201" s="255"/>
      <c r="AS201" s="255"/>
      <c r="AT201" s="255"/>
      <c r="AU201" s="255"/>
      <c r="AV201" s="255"/>
      <c r="AW201" s="255"/>
      <c r="AX201" s="255"/>
      <c r="AY201" s="255"/>
      <c r="AZ201" s="255"/>
      <c r="BA201" s="255"/>
      <c r="BB201" s="255"/>
      <c r="BC201" s="255"/>
      <c r="BD201" s="255"/>
      <c r="BE201" s="255"/>
      <c r="BF201" s="255"/>
      <c r="BG201" s="255"/>
      <c r="BH201" s="255"/>
      <c r="BI201" s="255"/>
      <c r="BJ201" s="255"/>
      <c r="BK201" s="255"/>
      <c r="BL201" s="255"/>
      <c r="BM201" s="255"/>
      <c r="BN201" s="255"/>
      <c r="BO201" s="255"/>
      <c r="BP201" s="255"/>
      <c r="BQ201" s="255"/>
      <c r="BR201" s="255"/>
      <c r="BS201" s="255"/>
    </row>
    <row r="202" spans="1:71" x14ac:dyDescent="0.25">
      <c r="A202" s="255"/>
      <c r="B202" s="255"/>
      <c r="C202" s="255"/>
      <c r="D202" s="255"/>
      <c r="E202" s="255"/>
      <c r="F202" s="255"/>
      <c r="G202" s="240" t="s">
        <v>183</v>
      </c>
      <c r="H202" s="240" t="s">
        <v>184</v>
      </c>
      <c r="I202" s="240" t="s">
        <v>185</v>
      </c>
      <c r="J202" s="240"/>
      <c r="K202" s="239" t="s">
        <v>239</v>
      </c>
      <c r="L202" s="255"/>
      <c r="M202" s="255"/>
      <c r="N202" s="255"/>
      <c r="O202" s="255"/>
      <c r="P202" s="255"/>
      <c r="Q202" s="255"/>
      <c r="R202" s="255"/>
      <c r="S202" s="255"/>
      <c r="T202" s="255"/>
      <c r="U202" s="255"/>
      <c r="V202" s="255"/>
      <c r="W202" s="255"/>
      <c r="X202" s="255"/>
      <c r="Y202" s="255"/>
      <c r="Z202" s="255"/>
      <c r="AA202" s="255"/>
      <c r="AB202" s="255"/>
      <c r="AC202" s="255"/>
      <c r="AD202" s="255"/>
      <c r="AE202" s="255"/>
      <c r="AF202" s="255"/>
      <c r="AG202" s="255"/>
      <c r="AH202" s="255"/>
      <c r="AI202" s="255"/>
      <c r="AJ202" s="255"/>
      <c r="AK202" s="255"/>
      <c r="AL202" s="255"/>
      <c r="AM202" s="255"/>
      <c r="AN202" s="255"/>
      <c r="AO202" s="255"/>
      <c r="AP202" s="255"/>
      <c r="AQ202" s="255"/>
      <c r="AR202" s="255"/>
      <c r="AS202" s="255"/>
      <c r="AT202" s="255"/>
      <c r="AU202" s="255"/>
      <c r="AV202" s="255"/>
      <c r="AW202" s="255"/>
      <c r="AX202" s="255"/>
      <c r="AY202" s="255"/>
      <c r="AZ202" s="255"/>
      <c r="BA202" s="255"/>
      <c r="BB202" s="255"/>
      <c r="BC202" s="255"/>
      <c r="BD202" s="255"/>
      <c r="BE202" s="255"/>
      <c r="BF202" s="255"/>
      <c r="BG202" s="255"/>
      <c r="BH202" s="255"/>
      <c r="BI202" s="255"/>
      <c r="BJ202" s="255"/>
      <c r="BK202" s="255"/>
      <c r="BL202" s="255"/>
      <c r="BM202" s="255"/>
      <c r="BN202" s="255"/>
      <c r="BO202" s="255"/>
      <c r="BP202" s="255"/>
      <c r="BQ202" s="255"/>
      <c r="BR202" s="255"/>
      <c r="BS202" s="255"/>
    </row>
    <row r="203" spans="1:71" x14ac:dyDescent="0.25">
      <c r="A203" s="255"/>
      <c r="B203" s="240" t="s">
        <v>386</v>
      </c>
      <c r="C203" s="315"/>
      <c r="D203" s="240" t="s">
        <v>157</v>
      </c>
      <c r="E203" s="315"/>
      <c r="F203" s="240" t="s">
        <v>165</v>
      </c>
      <c r="G203" s="315"/>
      <c r="H203" s="293" t="s">
        <v>367</v>
      </c>
      <c r="I203" s="272">
        <v>0.5</v>
      </c>
      <c r="J203" s="240" t="s">
        <v>187</v>
      </c>
      <c r="K203" s="329">
        <f>TRUNC(IF(H203="Tm",G203*9.81*I203,G203*I203),2)</f>
        <v>0</v>
      </c>
      <c r="L203" s="255"/>
      <c r="M203" s="255"/>
      <c r="N203" s="255"/>
      <c r="O203" s="255"/>
      <c r="P203" s="255"/>
      <c r="Q203" s="255"/>
      <c r="R203" s="255"/>
      <c r="S203" s="255"/>
      <c r="T203" s="255"/>
      <c r="U203" s="255"/>
      <c r="V203" s="255"/>
      <c r="W203" s="255"/>
      <c r="X203" s="255"/>
      <c r="Y203" s="255"/>
      <c r="Z203" s="255"/>
      <c r="AA203" s="255"/>
      <c r="AB203" s="255"/>
      <c r="AC203" s="255"/>
      <c r="AD203" s="255"/>
      <c r="AE203" s="255"/>
      <c r="AF203" s="255"/>
      <c r="AG203" s="255"/>
      <c r="AH203" s="255"/>
      <c r="AI203" s="255"/>
      <c r="AJ203" s="255"/>
      <c r="AK203" s="255"/>
      <c r="AL203" s="255"/>
      <c r="AM203" s="255"/>
      <c r="AN203" s="255"/>
      <c r="AO203" s="255"/>
      <c r="AP203" s="255"/>
      <c r="AQ203" s="255"/>
      <c r="AR203" s="255"/>
      <c r="AS203" s="255"/>
      <c r="AT203" s="255"/>
      <c r="AU203" s="255"/>
      <c r="AV203" s="255"/>
      <c r="AW203" s="255"/>
      <c r="AX203" s="255"/>
      <c r="AY203" s="255"/>
      <c r="AZ203" s="255"/>
      <c r="BA203" s="255"/>
      <c r="BB203" s="255"/>
      <c r="BC203" s="255"/>
      <c r="BD203" s="255"/>
      <c r="BE203" s="255"/>
      <c r="BF203" s="255"/>
      <c r="BG203" s="255"/>
      <c r="BH203" s="255"/>
      <c r="BI203" s="255"/>
      <c r="BJ203" s="255"/>
      <c r="BK203" s="255"/>
      <c r="BL203" s="255"/>
      <c r="BM203" s="255"/>
      <c r="BN203" s="255"/>
      <c r="BO203" s="255"/>
      <c r="BP203" s="255"/>
      <c r="BQ203" s="255"/>
      <c r="BR203" s="255"/>
      <c r="BS203" s="255"/>
    </row>
    <row r="204" spans="1:71" x14ac:dyDescent="0.25">
      <c r="A204" s="255"/>
      <c r="B204" s="240" t="s">
        <v>387</v>
      </c>
      <c r="C204" s="315"/>
      <c r="D204" s="240" t="s">
        <v>158</v>
      </c>
      <c r="E204" s="315"/>
      <c r="F204" s="240" t="s">
        <v>166</v>
      </c>
      <c r="G204" s="315"/>
      <c r="H204" s="293" t="s">
        <v>367</v>
      </c>
      <c r="I204" s="272">
        <v>0.33</v>
      </c>
      <c r="J204" s="240" t="s">
        <v>187</v>
      </c>
      <c r="K204" s="329">
        <f t="shared" ref="K204:K210" si="59">TRUNC(IF(H204="Tm",G204*9.81*I204,G204*I204),2)</f>
        <v>0</v>
      </c>
      <c r="L204" s="255"/>
      <c r="M204" s="255"/>
      <c r="N204" s="255"/>
      <c r="O204" s="255"/>
      <c r="P204" s="255"/>
      <c r="Q204" s="255"/>
      <c r="R204" s="255"/>
      <c r="S204" s="255"/>
      <c r="T204" s="255"/>
      <c r="U204" s="255"/>
      <c r="V204" s="255"/>
      <c r="W204" s="255"/>
      <c r="X204" s="255"/>
      <c r="Y204" s="255"/>
      <c r="Z204" s="255"/>
      <c r="AA204" s="255"/>
      <c r="AB204" s="255"/>
      <c r="AC204" s="255"/>
      <c r="AD204" s="255"/>
      <c r="AE204" s="255"/>
      <c r="AF204" s="255"/>
      <c r="AG204" s="255"/>
      <c r="AH204" s="255"/>
      <c r="AI204" s="255"/>
      <c r="AJ204" s="255"/>
      <c r="AK204" s="255"/>
      <c r="AL204" s="255"/>
      <c r="AM204" s="255"/>
      <c r="AN204" s="255"/>
      <c r="AO204" s="255"/>
      <c r="AP204" s="255"/>
      <c r="AQ204" s="255"/>
      <c r="AR204" s="255"/>
      <c r="AS204" s="255"/>
      <c r="AT204" s="255"/>
      <c r="AU204" s="255"/>
      <c r="AV204" s="255"/>
      <c r="AW204" s="255"/>
      <c r="AX204" s="255"/>
      <c r="AY204" s="255"/>
      <c r="AZ204" s="255"/>
      <c r="BA204" s="255"/>
      <c r="BB204" s="255"/>
      <c r="BC204" s="255"/>
      <c r="BD204" s="255"/>
      <c r="BE204" s="255"/>
      <c r="BF204" s="255"/>
      <c r="BG204" s="255"/>
      <c r="BH204" s="255"/>
      <c r="BI204" s="255"/>
      <c r="BJ204" s="255"/>
      <c r="BK204" s="255"/>
      <c r="BL204" s="255"/>
      <c r="BM204" s="255"/>
      <c r="BN204" s="255"/>
      <c r="BO204" s="255"/>
      <c r="BP204" s="255"/>
      <c r="BQ204" s="255"/>
      <c r="BR204" s="255"/>
      <c r="BS204" s="255"/>
    </row>
    <row r="205" spans="1:71" x14ac:dyDescent="0.25">
      <c r="A205" s="255"/>
      <c r="B205" s="240" t="s">
        <v>150</v>
      </c>
      <c r="C205" s="306" cm="1">
        <f t="array" ref="C205">ROUND(IF(OR(ISBLANK(C203),ISBLANK(C204)),"0",
IF(OR(C203&lt;V24,C203&gt;AF24,C204&lt;U25,C204&gt;U30),"Fuera de rango",
(
(INDEX(V25:AF30,MATCH(C204,U25:U30,1),MATCH(C203,V24:AF24,1))*(INDEX(V24:AF24,1,MATCH(C203,V24:AF24,1)+1)-C203)*(INDEX(U25:U30,MATCH(C204,U25:U30,1)+1,1)-C204)+
INDEX(V25:AF30,MATCH(C204,U25:U30,1)+1,MATCH(C203,V24:AF24,1))*(INDEX(V24:AF24,1,MATCH(C203,V24:AF24,1)+1)-C203)*(C204-INDEX(U25:U30,MATCH(C204,U25:U30,1),1))+
INDEX(V25:AF30,MATCH(C204,U25:U30,1),MATCH(C203,V24:AF24,1)+1)*(C203-INDEX(V24:AF24,1,MATCH(C203,V24:AF24,1),1))*(INDEX(U25:U30,MATCH(C204,U25:U30,1)+1,1)-C204)+
INDEX(V25:AF30,MATCH(C204,U25:U30,1)+1,MATCH(C203,V24:AF24,1)+1)*(C203-INDEX(V24:AF24,1,MATCH(C203,V24:AF24,1),1))*(C204-INDEX(U25:U30,MATCH(C204,U25:U30,1),1))
)
/(
(INDEX(V24:AF24,1,MATCH(C203,V24:AF24,1)+1)-INDEX(V24:AF24,1,MATCH(C203,V24:AF24,1),1))*
(INDEX(U25:U30,MATCH(C204,U25:U30,1)+1,1)-INDEX(U25:U30,MATCH(C204,U25:U30,1),1))
)
))),2)</f>
        <v>0</v>
      </c>
      <c r="D205" s="240" t="s">
        <v>159</v>
      </c>
      <c r="E205" s="315"/>
      <c r="F205" s="240" t="s">
        <v>167</v>
      </c>
      <c r="G205" s="315"/>
      <c r="H205" s="293" t="s">
        <v>367</v>
      </c>
      <c r="I205" s="272">
        <v>0.8</v>
      </c>
      <c r="J205" s="240" t="s">
        <v>187</v>
      </c>
      <c r="K205" s="329">
        <f t="shared" si="59"/>
        <v>0</v>
      </c>
      <c r="L205" s="255"/>
      <c r="M205" s="255"/>
      <c r="N205" s="255"/>
      <c r="O205" s="255"/>
      <c r="P205" s="255"/>
      <c r="Q205" s="255"/>
      <c r="R205" s="255"/>
      <c r="S205" s="255"/>
      <c r="T205" s="255"/>
      <c r="U205" s="255"/>
      <c r="V205" s="255"/>
      <c r="W205" s="255"/>
      <c r="X205" s="255"/>
      <c r="Y205" s="255"/>
      <c r="Z205" s="255"/>
      <c r="AA205" s="255"/>
      <c r="AB205" s="255"/>
      <c r="AC205" s="255"/>
      <c r="AD205" s="255"/>
      <c r="AE205" s="255"/>
      <c r="AF205" s="255"/>
      <c r="AG205" s="255"/>
      <c r="AH205" s="255"/>
      <c r="AI205" s="255"/>
      <c r="AJ205" s="255"/>
      <c r="AK205" s="255"/>
      <c r="AL205" s="255"/>
      <c r="AM205" s="255"/>
      <c r="AN205" s="255"/>
      <c r="AO205" s="255"/>
      <c r="AP205" s="255"/>
      <c r="AQ205" s="255"/>
      <c r="AR205" s="255"/>
      <c r="AS205" s="255"/>
      <c r="AT205" s="255"/>
      <c r="AU205" s="255"/>
      <c r="AV205" s="255"/>
      <c r="AW205" s="255"/>
      <c r="AX205" s="255"/>
      <c r="AY205" s="255"/>
      <c r="AZ205" s="255"/>
      <c r="BA205" s="255"/>
      <c r="BB205" s="255"/>
      <c r="BC205" s="255"/>
      <c r="BD205" s="255"/>
      <c r="BE205" s="255"/>
      <c r="BF205" s="255"/>
      <c r="BG205" s="255"/>
      <c r="BH205" s="255"/>
      <c r="BI205" s="255"/>
      <c r="BJ205" s="255"/>
      <c r="BK205" s="255"/>
      <c r="BL205" s="255"/>
      <c r="BM205" s="255"/>
      <c r="BN205" s="255"/>
      <c r="BO205" s="255"/>
      <c r="BP205" s="255"/>
      <c r="BQ205" s="255"/>
      <c r="BR205" s="255"/>
      <c r="BS205" s="255"/>
    </row>
    <row r="206" spans="1:71" x14ac:dyDescent="0.25">
      <c r="A206" s="255"/>
      <c r="B206" s="240" t="s">
        <v>151</v>
      </c>
      <c r="C206" s="315"/>
      <c r="D206" s="240" t="s">
        <v>45</v>
      </c>
      <c r="E206" s="315"/>
      <c r="F206" s="240" t="s">
        <v>168</v>
      </c>
      <c r="G206" s="315"/>
      <c r="H206" s="293" t="s">
        <v>367</v>
      </c>
      <c r="I206" s="272">
        <v>0.3</v>
      </c>
      <c r="J206" s="240" t="s">
        <v>187</v>
      </c>
      <c r="K206" s="329">
        <f t="shared" si="59"/>
        <v>0</v>
      </c>
      <c r="L206" s="255"/>
      <c r="M206" s="255"/>
      <c r="N206" s="255"/>
      <c r="O206" s="255"/>
      <c r="P206" s="255"/>
      <c r="Q206" s="255"/>
      <c r="R206" s="255"/>
      <c r="S206" s="255"/>
      <c r="T206" s="255"/>
      <c r="U206" s="255"/>
      <c r="V206" s="255"/>
      <c r="W206" s="255"/>
      <c r="X206" s="255"/>
      <c r="Y206" s="255"/>
      <c r="Z206" s="255"/>
      <c r="AA206" s="255"/>
      <c r="AB206" s="255"/>
      <c r="AC206" s="255"/>
      <c r="AD206" s="255"/>
      <c r="AE206" s="255"/>
      <c r="AF206" s="255"/>
      <c r="AG206" s="255"/>
      <c r="AH206" s="255"/>
      <c r="AI206" s="255"/>
      <c r="AJ206" s="255"/>
      <c r="AK206" s="255"/>
      <c r="AL206" s="255"/>
      <c r="AM206" s="255"/>
      <c r="AN206" s="255"/>
      <c r="AO206" s="255"/>
      <c r="AP206" s="255"/>
      <c r="AQ206" s="255"/>
      <c r="AR206" s="255"/>
      <c r="AS206" s="255"/>
      <c r="AT206" s="255"/>
      <c r="AU206" s="255"/>
      <c r="AV206" s="255"/>
      <c r="AW206" s="255"/>
      <c r="AX206" s="255"/>
      <c r="AY206" s="255"/>
      <c r="AZ206" s="255"/>
      <c r="BA206" s="255"/>
      <c r="BB206" s="255"/>
      <c r="BC206" s="255"/>
      <c r="BD206" s="255"/>
      <c r="BE206" s="255"/>
      <c r="BF206" s="255"/>
      <c r="BG206" s="255"/>
      <c r="BH206" s="255"/>
      <c r="BI206" s="255"/>
      <c r="BJ206" s="255"/>
      <c r="BK206" s="255"/>
      <c r="BL206" s="255"/>
      <c r="BM206" s="255"/>
      <c r="BN206" s="255"/>
      <c r="BO206" s="255"/>
      <c r="BP206" s="255"/>
      <c r="BQ206" s="255"/>
      <c r="BR206" s="255"/>
      <c r="BS206" s="255"/>
    </row>
    <row r="207" spans="1:71" x14ac:dyDescent="0.25">
      <c r="A207" s="255"/>
      <c r="B207" s="240" t="s">
        <v>152</v>
      </c>
      <c r="C207" s="300">
        <v>1</v>
      </c>
      <c r="D207" s="268" t="s">
        <v>160</v>
      </c>
      <c r="E207" s="315"/>
      <c r="F207" s="240" t="s">
        <v>169</v>
      </c>
      <c r="G207" s="315"/>
      <c r="H207" s="293" t="s">
        <v>367</v>
      </c>
      <c r="I207" s="272">
        <v>0.7</v>
      </c>
      <c r="J207" s="240" t="s">
        <v>187</v>
      </c>
      <c r="K207" s="329">
        <f t="shared" si="59"/>
        <v>0</v>
      </c>
      <c r="L207" s="255"/>
      <c r="M207" s="255"/>
      <c r="N207" s="255"/>
      <c r="O207" s="255"/>
      <c r="P207" s="255"/>
      <c r="Q207" s="255"/>
      <c r="R207" s="255"/>
      <c r="S207" s="255"/>
      <c r="T207" s="255"/>
      <c r="U207" s="255"/>
      <c r="V207" s="255"/>
      <c r="W207" s="255"/>
      <c r="X207" s="255"/>
      <c r="Y207" s="255"/>
      <c r="Z207" s="255"/>
      <c r="AA207" s="255"/>
      <c r="AB207" s="255"/>
      <c r="AC207" s="255"/>
      <c r="AD207" s="255"/>
      <c r="AE207" s="255"/>
      <c r="AF207" s="255"/>
      <c r="AG207" s="255"/>
      <c r="AH207" s="255"/>
      <c r="AI207" s="255"/>
      <c r="AJ207" s="255"/>
      <c r="AK207" s="255"/>
      <c r="AL207" s="255"/>
      <c r="AM207" s="255"/>
      <c r="AN207" s="255"/>
      <c r="AO207" s="255"/>
      <c r="AP207" s="255"/>
      <c r="AQ207" s="255"/>
      <c r="AR207" s="255"/>
      <c r="AS207" s="255"/>
      <c r="AT207" s="255"/>
      <c r="AU207" s="255"/>
      <c r="AV207" s="255"/>
      <c r="AW207" s="255"/>
      <c r="AX207" s="255"/>
      <c r="AY207" s="255"/>
      <c r="AZ207" s="255"/>
      <c r="BA207" s="255"/>
      <c r="BB207" s="255"/>
      <c r="BC207" s="255"/>
      <c r="BD207" s="255"/>
      <c r="BE207" s="255"/>
      <c r="BF207" s="255"/>
      <c r="BG207" s="255"/>
      <c r="BH207" s="255"/>
      <c r="BI207" s="255"/>
      <c r="BJ207" s="255"/>
      <c r="BK207" s="255"/>
      <c r="BL207" s="255"/>
      <c r="BM207" s="255"/>
      <c r="BN207" s="255"/>
      <c r="BO207" s="255"/>
      <c r="BP207" s="255"/>
      <c r="BQ207" s="255"/>
      <c r="BR207" s="255"/>
      <c r="BS207" s="255"/>
    </row>
    <row r="208" spans="1:71" x14ac:dyDescent="0.25">
      <c r="A208" s="255"/>
      <c r="B208" s="240" t="s">
        <v>153</v>
      </c>
      <c r="C208" s="315"/>
      <c r="D208" s="240" t="s">
        <v>161</v>
      </c>
      <c r="E208" s="315"/>
      <c r="F208" s="240" t="s">
        <v>170</v>
      </c>
      <c r="G208" s="315"/>
      <c r="H208" s="293" t="s">
        <v>367</v>
      </c>
      <c r="I208" s="272">
        <v>0.5</v>
      </c>
      <c r="J208" s="240" t="s">
        <v>187</v>
      </c>
      <c r="K208" s="329">
        <f t="shared" si="59"/>
        <v>0</v>
      </c>
      <c r="L208" s="255"/>
      <c r="M208" s="255"/>
      <c r="N208" s="255"/>
      <c r="O208" s="255"/>
      <c r="P208" s="255"/>
      <c r="Q208" s="255"/>
      <c r="R208" s="255"/>
      <c r="S208" s="255"/>
      <c r="T208" s="255"/>
      <c r="U208" s="255"/>
      <c r="V208" s="255"/>
      <c r="W208" s="255"/>
      <c r="X208" s="255"/>
      <c r="Y208" s="255"/>
      <c r="Z208" s="255"/>
      <c r="AA208" s="255"/>
      <c r="AB208" s="255"/>
      <c r="AC208" s="255"/>
      <c r="AD208" s="255"/>
      <c r="AE208" s="255"/>
      <c r="AF208" s="255"/>
      <c r="AG208" s="255"/>
      <c r="AH208" s="255"/>
      <c r="AI208" s="255"/>
      <c r="AJ208" s="255"/>
      <c r="AK208" s="255"/>
      <c r="AL208" s="255"/>
      <c r="AM208" s="255"/>
      <c r="AN208" s="255"/>
      <c r="AO208" s="255"/>
      <c r="AP208" s="255"/>
      <c r="AQ208" s="255"/>
      <c r="AR208" s="255"/>
      <c r="AS208" s="255"/>
      <c r="AT208" s="255"/>
      <c r="AU208" s="255"/>
      <c r="AV208" s="255"/>
      <c r="AW208" s="255"/>
      <c r="AX208" s="255"/>
      <c r="AY208" s="255"/>
      <c r="AZ208" s="255"/>
      <c r="BA208" s="255"/>
      <c r="BB208" s="255"/>
      <c r="BC208" s="255"/>
      <c r="BD208" s="255"/>
      <c r="BE208" s="255"/>
      <c r="BF208" s="255"/>
      <c r="BG208" s="255"/>
      <c r="BH208" s="255"/>
      <c r="BI208" s="255"/>
      <c r="BJ208" s="255"/>
      <c r="BK208" s="255"/>
      <c r="BL208" s="255"/>
      <c r="BM208" s="255"/>
      <c r="BN208" s="255"/>
      <c r="BO208" s="255"/>
      <c r="BP208" s="255"/>
      <c r="BQ208" s="255"/>
      <c r="BR208" s="255"/>
      <c r="BS208" s="255"/>
    </row>
    <row r="209" spans="1:71" x14ac:dyDescent="0.25">
      <c r="A209" s="255"/>
      <c r="B209" s="240" t="s">
        <v>154</v>
      </c>
      <c r="C209" s="315"/>
      <c r="D209" s="268" t="s">
        <v>162</v>
      </c>
      <c r="E209" s="315"/>
      <c r="F209" s="240" t="s">
        <v>171</v>
      </c>
      <c r="G209" s="315"/>
      <c r="H209" s="293" t="s">
        <v>367</v>
      </c>
      <c r="I209" s="272">
        <v>0.7</v>
      </c>
      <c r="J209" s="240" t="s">
        <v>187</v>
      </c>
      <c r="K209" s="329">
        <f t="shared" si="59"/>
        <v>0</v>
      </c>
      <c r="L209" s="255"/>
      <c r="M209" s="255"/>
      <c r="N209" s="255"/>
      <c r="O209" s="255"/>
      <c r="P209" s="255"/>
      <c r="Q209" s="255"/>
      <c r="R209" s="255"/>
      <c r="S209" s="255"/>
      <c r="T209" s="255"/>
      <c r="U209" s="255"/>
      <c r="V209" s="255"/>
      <c r="W209" s="255"/>
      <c r="X209" s="255"/>
      <c r="Y209" s="255"/>
      <c r="Z209" s="255"/>
      <c r="AA209" s="255"/>
      <c r="AB209" s="255"/>
      <c r="AC209" s="255"/>
      <c r="AD209" s="255"/>
      <c r="AE209" s="255"/>
      <c r="AF209" s="255"/>
      <c r="AG209" s="255"/>
      <c r="AH209" s="255"/>
      <c r="AI209" s="255"/>
      <c r="AJ209" s="255"/>
      <c r="AK209" s="255"/>
      <c r="AL209" s="255"/>
      <c r="AM209" s="255"/>
      <c r="AN209" s="255"/>
      <c r="AO209" s="255"/>
      <c r="AP209" s="255"/>
      <c r="AQ209" s="255"/>
      <c r="AR209" s="255"/>
      <c r="AS209" s="255"/>
      <c r="AT209" s="255"/>
      <c r="AU209" s="255"/>
      <c r="AV209" s="255"/>
      <c r="AW209" s="255"/>
      <c r="AX209" s="255"/>
      <c r="AY209" s="255"/>
      <c r="AZ209" s="255"/>
      <c r="BA209" s="255"/>
      <c r="BB209" s="255"/>
      <c r="BC209" s="255"/>
      <c r="BD209" s="255"/>
      <c r="BE209" s="255"/>
      <c r="BF209" s="255"/>
      <c r="BG209" s="255"/>
      <c r="BH209" s="255"/>
      <c r="BI209" s="255"/>
      <c r="BJ209" s="255"/>
      <c r="BK209" s="255"/>
      <c r="BL209" s="255"/>
      <c r="BM209" s="255"/>
      <c r="BN209" s="255"/>
      <c r="BO209" s="255"/>
      <c r="BP209" s="255"/>
      <c r="BQ209" s="255"/>
      <c r="BR209" s="255"/>
      <c r="BS209" s="255"/>
    </row>
    <row r="210" spans="1:71" x14ac:dyDescent="0.25">
      <c r="A210" s="255"/>
      <c r="B210" s="240" t="s">
        <v>155</v>
      </c>
      <c r="C210" s="315"/>
      <c r="D210" s="240" t="s">
        <v>163</v>
      </c>
      <c r="E210" s="315"/>
      <c r="F210" s="240" t="s">
        <v>172</v>
      </c>
      <c r="G210" s="315"/>
      <c r="H210" s="293" t="s">
        <v>367</v>
      </c>
      <c r="I210" s="272">
        <v>0.3</v>
      </c>
      <c r="J210" s="240" t="s">
        <v>187</v>
      </c>
      <c r="K210" s="329">
        <f t="shared" si="59"/>
        <v>0</v>
      </c>
      <c r="L210" s="255"/>
      <c r="M210" s="255"/>
      <c r="N210" s="255"/>
      <c r="O210" s="255"/>
      <c r="P210" s="255"/>
      <c r="Q210" s="255"/>
      <c r="R210" s="255"/>
      <c r="S210" s="255"/>
      <c r="T210" s="255"/>
      <c r="U210" s="255"/>
      <c r="V210" s="255"/>
      <c r="W210" s="255"/>
      <c r="X210" s="255"/>
      <c r="Y210" s="255"/>
      <c r="Z210" s="255"/>
      <c r="AA210" s="255"/>
      <c r="AB210" s="255"/>
      <c r="AC210" s="255"/>
      <c r="AD210" s="255"/>
      <c r="AE210" s="255"/>
      <c r="AF210" s="255"/>
      <c r="AG210" s="255"/>
      <c r="AH210" s="255"/>
      <c r="AI210" s="255"/>
      <c r="AJ210" s="255"/>
      <c r="AK210" s="255"/>
      <c r="AL210" s="255"/>
      <c r="AM210" s="255"/>
      <c r="AN210" s="255"/>
      <c r="AO210" s="255"/>
      <c r="AP210" s="255"/>
      <c r="AQ210" s="255"/>
      <c r="AR210" s="255"/>
      <c r="AS210" s="255"/>
      <c r="AT210" s="255"/>
      <c r="AU210" s="255"/>
      <c r="AV210" s="255"/>
      <c r="AW210" s="255"/>
      <c r="AX210" s="255"/>
      <c r="AY210" s="255"/>
      <c r="AZ210" s="255"/>
      <c r="BA210" s="255"/>
      <c r="BB210" s="255"/>
      <c r="BC210" s="255"/>
      <c r="BD210" s="255"/>
      <c r="BE210" s="255"/>
      <c r="BF210" s="255"/>
      <c r="BG210" s="255"/>
      <c r="BH210" s="255"/>
      <c r="BI210" s="255"/>
      <c r="BJ210" s="255"/>
      <c r="BK210" s="255"/>
      <c r="BL210" s="255"/>
      <c r="BM210" s="255"/>
      <c r="BN210" s="255"/>
      <c r="BO210" s="255"/>
      <c r="BP210" s="255"/>
      <c r="BQ210" s="255"/>
      <c r="BR210" s="255"/>
      <c r="BS210" s="255"/>
    </row>
    <row r="211" spans="1:71" x14ac:dyDescent="0.25">
      <c r="A211" s="255"/>
      <c r="B211" s="255"/>
      <c r="C211" s="255"/>
      <c r="D211" s="255"/>
      <c r="E211" s="255"/>
      <c r="F211" s="255"/>
      <c r="G211" s="255"/>
      <c r="H211" s="255"/>
      <c r="I211" s="255"/>
      <c r="J211" s="255"/>
      <c r="K211" s="255"/>
      <c r="L211" s="255"/>
      <c r="M211" s="255"/>
      <c r="N211" s="255"/>
      <c r="O211" s="255"/>
      <c r="P211" s="255"/>
      <c r="Q211" s="255"/>
      <c r="R211" s="255"/>
      <c r="S211" s="255"/>
      <c r="T211" s="255"/>
      <c r="U211" s="255"/>
      <c r="V211" s="255"/>
      <c r="W211" s="255"/>
      <c r="X211" s="255"/>
      <c r="Y211" s="255"/>
      <c r="Z211" s="255"/>
      <c r="AA211" s="255"/>
      <c r="AB211" s="255"/>
      <c r="AC211" s="255"/>
      <c r="AD211" s="255"/>
      <c r="AE211" s="255"/>
      <c r="AF211" s="255"/>
      <c r="AG211" s="255"/>
      <c r="AH211" s="255"/>
      <c r="AI211" s="255"/>
      <c r="AJ211" s="255"/>
      <c r="AK211" s="255"/>
      <c r="AL211" s="255"/>
      <c r="AM211" s="255"/>
      <c r="AN211" s="255"/>
      <c r="AO211" s="255"/>
      <c r="AP211" s="255"/>
      <c r="AQ211" s="255"/>
      <c r="AR211" s="255"/>
      <c r="AS211" s="255"/>
      <c r="AT211" s="255"/>
      <c r="AU211" s="255"/>
      <c r="AV211" s="255"/>
      <c r="AW211" s="255"/>
      <c r="AX211" s="255"/>
      <c r="AY211" s="255"/>
      <c r="AZ211" s="255"/>
      <c r="BA211" s="255"/>
      <c r="BB211" s="255"/>
      <c r="BC211" s="255"/>
      <c r="BD211" s="255"/>
      <c r="BE211" s="255"/>
      <c r="BF211" s="255"/>
      <c r="BG211" s="255"/>
      <c r="BH211" s="255"/>
      <c r="BI211" s="255"/>
      <c r="BJ211" s="255"/>
      <c r="BK211" s="255"/>
      <c r="BL211" s="255"/>
      <c r="BM211" s="255"/>
      <c r="BN211" s="255"/>
      <c r="BO211" s="255"/>
      <c r="BP211" s="255"/>
      <c r="BQ211" s="255"/>
      <c r="BR211" s="255"/>
      <c r="BS211" s="255"/>
    </row>
    <row r="212" spans="1:71" x14ac:dyDescent="0.25">
      <c r="A212" s="255"/>
      <c r="B212" s="240" t="s">
        <v>173</v>
      </c>
      <c r="C212" s="240"/>
      <c r="D212" s="255"/>
      <c r="E212" s="240" t="s">
        <v>182</v>
      </c>
      <c r="F212" s="240" t="s">
        <v>157</v>
      </c>
      <c r="G212" s="240" t="s">
        <v>158</v>
      </c>
      <c r="H212" s="240" t="s">
        <v>159</v>
      </c>
      <c r="I212" s="240" t="s">
        <v>181</v>
      </c>
      <c r="J212" s="255"/>
      <c r="K212" s="255"/>
      <c r="L212" s="255"/>
      <c r="M212" s="255"/>
      <c r="N212" s="255"/>
      <c r="O212" s="255"/>
      <c r="P212" s="255"/>
      <c r="Q212" s="255"/>
      <c r="R212" s="255"/>
      <c r="S212" s="255"/>
      <c r="T212" s="255"/>
      <c r="U212" s="255"/>
      <c r="V212" s="255"/>
      <c r="W212" s="255"/>
      <c r="X212" s="255"/>
      <c r="Y212" s="255"/>
      <c r="Z212" s="255"/>
      <c r="AA212" s="255"/>
      <c r="AB212" s="255"/>
      <c r="AC212" s="255"/>
      <c r="AD212" s="255"/>
      <c r="AE212" s="255"/>
      <c r="AF212" s="255"/>
      <c r="AG212" s="255"/>
      <c r="AH212" s="255"/>
      <c r="AI212" s="255"/>
      <c r="AJ212" s="255"/>
      <c r="AK212" s="255"/>
      <c r="AL212" s="255"/>
      <c r="AM212" s="255"/>
      <c r="AN212" s="255"/>
      <c r="AO212" s="255"/>
      <c r="AP212" s="255"/>
      <c r="AQ212" s="255"/>
      <c r="AR212" s="255"/>
      <c r="AS212" s="255"/>
      <c r="AT212" s="255"/>
      <c r="AU212" s="255"/>
      <c r="AV212" s="255"/>
      <c r="AW212" s="255"/>
      <c r="AX212" s="255"/>
      <c r="AY212" s="255"/>
      <c r="AZ212" s="255"/>
      <c r="BA212" s="255"/>
      <c r="BB212" s="255"/>
      <c r="BC212" s="255"/>
      <c r="BD212" s="255"/>
      <c r="BE212" s="255"/>
      <c r="BF212" s="255"/>
      <c r="BG212" s="255"/>
      <c r="BH212" s="255"/>
      <c r="BI212" s="255"/>
      <c r="BJ212" s="255"/>
      <c r="BK212" s="255"/>
      <c r="BL212" s="255"/>
      <c r="BM212" s="255"/>
      <c r="BN212" s="255"/>
      <c r="BO212" s="255"/>
      <c r="BP212" s="255"/>
      <c r="BQ212" s="255"/>
      <c r="BR212" s="255"/>
      <c r="BS212" s="255"/>
    </row>
    <row r="213" spans="1:71" x14ac:dyDescent="0.25">
      <c r="A213" s="255"/>
      <c r="B213" s="240" t="s">
        <v>174</v>
      </c>
      <c r="C213" s="243">
        <f>ROUND(C208*C205,2)</f>
        <v>0</v>
      </c>
      <c r="D213" s="255"/>
      <c r="E213" s="240" t="s">
        <v>177</v>
      </c>
      <c r="F213" s="271"/>
      <c r="G213" s="273">
        <f>E204</f>
        <v>0</v>
      </c>
      <c r="H213" s="273">
        <f>E205</f>
        <v>0</v>
      </c>
      <c r="I213" s="243">
        <f>G213*H213</f>
        <v>0</v>
      </c>
      <c r="J213" s="255"/>
      <c r="K213" s="255"/>
      <c r="L213" s="255"/>
      <c r="M213" s="255"/>
      <c r="N213" s="255"/>
      <c r="O213" s="255"/>
      <c r="P213" s="255"/>
      <c r="Q213" s="255"/>
      <c r="R213" s="255"/>
      <c r="S213" s="255"/>
      <c r="T213" s="255"/>
      <c r="U213" s="255"/>
      <c r="V213" s="255"/>
      <c r="W213" s="255"/>
      <c r="X213" s="255"/>
      <c r="Y213" s="255"/>
      <c r="Z213" s="255"/>
      <c r="AA213" s="255"/>
      <c r="AB213" s="255"/>
      <c r="AC213" s="255"/>
      <c r="AD213" s="255"/>
      <c r="AE213" s="255"/>
      <c r="AF213" s="255"/>
      <c r="AG213" s="255"/>
      <c r="AH213" s="255"/>
      <c r="AI213" s="255"/>
      <c r="AJ213" s="255"/>
      <c r="AK213" s="255"/>
      <c r="AL213" s="255"/>
      <c r="AM213" s="255"/>
      <c r="AN213" s="255"/>
      <c r="AO213" s="255"/>
      <c r="AP213" s="255"/>
      <c r="AQ213" s="255"/>
      <c r="AR213" s="255"/>
      <c r="AS213" s="255"/>
      <c r="AT213" s="255"/>
      <c r="AU213" s="255"/>
      <c r="AV213" s="255"/>
      <c r="AW213" s="255"/>
      <c r="AX213" s="255"/>
      <c r="AY213" s="255"/>
      <c r="AZ213" s="255"/>
      <c r="BA213" s="255"/>
      <c r="BB213" s="255"/>
      <c r="BC213" s="255"/>
      <c r="BD213" s="255"/>
      <c r="BE213" s="255"/>
      <c r="BF213" s="255"/>
      <c r="BG213" s="255"/>
      <c r="BH213" s="255"/>
      <c r="BI213" s="255"/>
      <c r="BJ213" s="255"/>
      <c r="BK213" s="255"/>
      <c r="BL213" s="255"/>
      <c r="BM213" s="255"/>
      <c r="BN213" s="255"/>
      <c r="BO213" s="255"/>
      <c r="BP213" s="255"/>
      <c r="BQ213" s="255"/>
      <c r="BR213" s="255"/>
      <c r="BS213" s="255"/>
    </row>
    <row r="214" spans="1:71" x14ac:dyDescent="0.25">
      <c r="A214" s="255"/>
      <c r="B214" s="240" t="s">
        <v>175</v>
      </c>
      <c r="C214" s="243">
        <f>ROUND(C209*C205*C206,2)</f>
        <v>0</v>
      </c>
      <c r="D214" s="255"/>
      <c r="E214" s="240" t="s">
        <v>178</v>
      </c>
      <c r="F214" s="273">
        <f>E203</f>
        <v>0</v>
      </c>
      <c r="G214" s="271"/>
      <c r="H214" s="273">
        <f>E205</f>
        <v>0</v>
      </c>
      <c r="I214" s="243">
        <f>F214*H214</f>
        <v>0</v>
      </c>
      <c r="J214" s="255"/>
      <c r="K214" s="255"/>
      <c r="L214" s="255"/>
      <c r="M214" s="255"/>
      <c r="N214" s="255"/>
      <c r="O214" s="255"/>
      <c r="P214" s="255"/>
      <c r="Q214" s="255"/>
      <c r="R214" s="255"/>
      <c r="S214" s="255"/>
      <c r="T214" s="255"/>
      <c r="U214" s="255"/>
      <c r="V214" s="255"/>
      <c r="W214" s="255"/>
      <c r="X214" s="255"/>
      <c r="Y214" s="255"/>
      <c r="Z214" s="255"/>
      <c r="AA214" s="255"/>
      <c r="AB214" s="255"/>
      <c r="AC214" s="255"/>
      <c r="AD214" s="255"/>
      <c r="AE214" s="255"/>
      <c r="AF214" s="255"/>
      <c r="AG214" s="255"/>
      <c r="AH214" s="255"/>
      <c r="AI214" s="255"/>
      <c r="AJ214" s="255"/>
      <c r="AK214" s="255"/>
      <c r="AL214" s="255"/>
      <c r="AM214" s="255"/>
      <c r="AN214" s="255"/>
      <c r="AO214" s="255"/>
      <c r="AP214" s="255"/>
      <c r="AQ214" s="255"/>
      <c r="AR214" s="255"/>
      <c r="AS214" s="255"/>
      <c r="AT214" s="255"/>
      <c r="AU214" s="255"/>
      <c r="AV214" s="255"/>
      <c r="AW214" s="255"/>
      <c r="AX214" s="255"/>
      <c r="AY214" s="255"/>
      <c r="AZ214" s="255"/>
      <c r="BA214" s="255"/>
      <c r="BB214" s="255"/>
      <c r="BC214" s="255"/>
      <c r="BD214" s="255"/>
      <c r="BE214" s="255"/>
      <c r="BF214" s="255"/>
      <c r="BG214" s="255"/>
      <c r="BH214" s="255"/>
      <c r="BI214" s="255"/>
      <c r="BJ214" s="255"/>
      <c r="BK214" s="255"/>
      <c r="BL214" s="255"/>
      <c r="BM214" s="255"/>
      <c r="BN214" s="255"/>
      <c r="BO214" s="255"/>
      <c r="BP214" s="255"/>
      <c r="BQ214" s="255"/>
      <c r="BR214" s="255"/>
      <c r="BS214" s="255"/>
    </row>
    <row r="215" spans="1:71" x14ac:dyDescent="0.25">
      <c r="A215" s="255"/>
      <c r="B215" s="240" t="s">
        <v>176</v>
      </c>
      <c r="C215" s="243">
        <f>ROUND(C210*C205,2)</f>
        <v>0</v>
      </c>
      <c r="D215" s="255"/>
      <c r="E215" s="240" t="s">
        <v>179</v>
      </c>
      <c r="F215" s="271"/>
      <c r="G215" s="273">
        <f>E204</f>
        <v>0</v>
      </c>
      <c r="H215" s="273">
        <f>IF(E205&lt;2,E205,2)</f>
        <v>0</v>
      </c>
      <c r="I215" s="243">
        <f>G215*H215</f>
        <v>0</v>
      </c>
      <c r="J215" s="255"/>
      <c r="K215" s="255"/>
      <c r="L215" s="255"/>
      <c r="M215" s="255"/>
      <c r="N215" s="255"/>
      <c r="O215" s="255"/>
      <c r="P215" s="255"/>
      <c r="Q215" s="255"/>
      <c r="R215" s="255"/>
      <c r="S215" s="255"/>
      <c r="T215" s="255"/>
      <c r="U215" s="255"/>
      <c r="V215" s="255"/>
      <c r="W215" s="255"/>
      <c r="X215" s="255"/>
      <c r="Y215" s="255"/>
      <c r="Z215" s="255"/>
      <c r="AA215" s="255"/>
      <c r="AB215" s="255"/>
      <c r="AC215" s="255"/>
      <c r="AD215" s="255"/>
      <c r="AE215" s="255"/>
      <c r="AF215" s="255"/>
      <c r="AG215" s="255"/>
      <c r="AH215" s="255"/>
      <c r="AI215" s="255"/>
      <c r="AJ215" s="255"/>
      <c r="AK215" s="255"/>
      <c r="AL215" s="255"/>
      <c r="AM215" s="255"/>
      <c r="AN215" s="255"/>
      <c r="AO215" s="255"/>
      <c r="AP215" s="255"/>
      <c r="AQ215" s="255"/>
      <c r="AR215" s="255"/>
      <c r="AS215" s="255"/>
      <c r="AT215" s="255"/>
      <c r="AU215" s="255"/>
      <c r="AV215" s="255"/>
      <c r="AW215" s="255"/>
      <c r="AX215" s="255"/>
      <c r="AY215" s="255"/>
      <c r="AZ215" s="255"/>
      <c r="BA215" s="255"/>
      <c r="BB215" s="255"/>
      <c r="BC215" s="255"/>
      <c r="BD215" s="255"/>
      <c r="BE215" s="255"/>
      <c r="BF215" s="255"/>
      <c r="BG215" s="255"/>
      <c r="BH215" s="255"/>
      <c r="BI215" s="255"/>
      <c r="BJ215" s="255"/>
      <c r="BK215" s="255"/>
      <c r="BL215" s="255"/>
      <c r="BM215" s="255"/>
      <c r="BN215" s="255"/>
      <c r="BO215" s="255"/>
      <c r="BP215" s="255"/>
      <c r="BQ215" s="255"/>
      <c r="BR215" s="255"/>
      <c r="BS215" s="255"/>
    </row>
    <row r="216" spans="1:71" x14ac:dyDescent="0.25">
      <c r="A216" s="255"/>
      <c r="B216" s="255"/>
      <c r="C216" s="255"/>
      <c r="D216" s="255"/>
      <c r="E216" s="240" t="s">
        <v>180</v>
      </c>
      <c r="F216" s="273">
        <f>E203</f>
        <v>0</v>
      </c>
      <c r="G216" s="271"/>
      <c r="H216" s="273">
        <f>IF(E205&lt;2,E205,2)</f>
        <v>0</v>
      </c>
      <c r="I216" s="243">
        <f>F216*H216</f>
        <v>0</v>
      </c>
      <c r="J216" s="255"/>
      <c r="K216" s="255"/>
      <c r="L216" s="255"/>
      <c r="M216" s="255"/>
      <c r="N216" s="255"/>
      <c r="O216" s="255"/>
      <c r="P216" s="255"/>
      <c r="Q216" s="255"/>
      <c r="R216" s="255"/>
      <c r="S216" s="255"/>
      <c r="T216" s="255"/>
      <c r="U216" s="255"/>
      <c r="V216" s="255"/>
      <c r="W216" s="255"/>
      <c r="X216" s="255"/>
      <c r="Y216" s="255"/>
      <c r="Z216" s="255"/>
      <c r="AA216" s="255"/>
      <c r="AB216" s="255"/>
      <c r="AC216" s="255"/>
      <c r="AD216" s="255"/>
      <c r="AE216" s="255"/>
      <c r="AF216" s="255"/>
      <c r="AG216" s="255"/>
      <c r="AH216" s="255"/>
      <c r="AI216" s="255"/>
      <c r="AJ216" s="255"/>
      <c r="AK216" s="255"/>
      <c r="AL216" s="255"/>
      <c r="AM216" s="255"/>
      <c r="AN216" s="255"/>
      <c r="AO216" s="255"/>
      <c r="AP216" s="255"/>
      <c r="AQ216" s="255"/>
      <c r="AR216" s="255"/>
      <c r="AS216" s="255"/>
      <c r="AT216" s="255"/>
      <c r="AU216" s="255"/>
      <c r="AV216" s="255"/>
      <c r="AW216" s="255"/>
      <c r="AX216" s="255"/>
      <c r="AY216" s="255"/>
      <c r="AZ216" s="255"/>
      <c r="BA216" s="255"/>
      <c r="BB216" s="255"/>
      <c r="BC216" s="255"/>
      <c r="BD216" s="255"/>
      <c r="BE216" s="255"/>
      <c r="BF216" s="255"/>
      <c r="BG216" s="255"/>
      <c r="BH216" s="255"/>
      <c r="BI216" s="255"/>
      <c r="BJ216" s="255"/>
      <c r="BK216" s="255"/>
      <c r="BL216" s="255"/>
      <c r="BM216" s="255"/>
      <c r="BN216" s="255"/>
      <c r="BO216" s="255"/>
      <c r="BP216" s="255"/>
      <c r="BQ216" s="255"/>
      <c r="BR216" s="255"/>
      <c r="BS216" s="255"/>
    </row>
    <row r="217" spans="1:71" x14ac:dyDescent="0.25">
      <c r="A217" s="255"/>
      <c r="B217" s="240" t="s">
        <v>188</v>
      </c>
      <c r="C217" s="240"/>
      <c r="D217" s="255"/>
      <c r="E217" s="255"/>
      <c r="F217" s="255"/>
      <c r="G217" s="255"/>
      <c r="H217" s="255"/>
      <c r="I217" s="255"/>
      <c r="J217" s="255"/>
      <c r="K217" s="255"/>
      <c r="L217" s="255"/>
      <c r="M217" s="255"/>
      <c r="N217" s="255"/>
      <c r="O217" s="255"/>
      <c r="P217" s="255"/>
      <c r="Q217" s="255"/>
      <c r="R217" s="255"/>
      <c r="S217" s="255"/>
      <c r="T217" s="255"/>
      <c r="U217" s="255"/>
      <c r="V217" s="255"/>
      <c r="W217" s="255"/>
      <c r="X217" s="255"/>
      <c r="Y217" s="255"/>
      <c r="Z217" s="255"/>
      <c r="AA217" s="255"/>
      <c r="AB217" s="255"/>
      <c r="AC217" s="255"/>
      <c r="AD217" s="255"/>
      <c r="AE217" s="255"/>
      <c r="AF217" s="255"/>
      <c r="AG217" s="255"/>
      <c r="AH217" s="255"/>
      <c r="AI217" s="255"/>
      <c r="AJ217" s="255"/>
      <c r="AK217" s="255"/>
      <c r="AL217" s="255"/>
      <c r="AM217" s="255"/>
      <c r="AN217" s="255"/>
      <c r="AO217" s="255"/>
      <c r="AP217" s="255"/>
      <c r="AQ217" s="255"/>
      <c r="AR217" s="255"/>
      <c r="AS217" s="255"/>
      <c r="AT217" s="255"/>
      <c r="AU217" s="255"/>
      <c r="AV217" s="255"/>
      <c r="AW217" s="255"/>
      <c r="AX217" s="255"/>
      <c r="AY217" s="255"/>
      <c r="AZ217" s="255"/>
      <c r="BA217" s="255"/>
      <c r="BB217" s="255"/>
      <c r="BC217" s="255"/>
      <c r="BD217" s="255"/>
      <c r="BE217" s="255"/>
      <c r="BF217" s="255"/>
      <c r="BG217" s="255"/>
      <c r="BH217" s="255"/>
      <c r="BI217" s="255"/>
      <c r="BJ217" s="255"/>
      <c r="BK217" s="255"/>
      <c r="BL217" s="255"/>
      <c r="BM217" s="255"/>
      <c r="BN217" s="255"/>
      <c r="BO217" s="255"/>
      <c r="BP217" s="255"/>
      <c r="BQ217" s="255"/>
      <c r="BR217" s="255"/>
      <c r="BS217" s="255"/>
    </row>
    <row r="218" spans="1:71" x14ac:dyDescent="0.25">
      <c r="A218" s="255"/>
      <c r="B218" s="255"/>
      <c r="C218" s="240" t="s">
        <v>45</v>
      </c>
      <c r="D218" s="240" t="s">
        <v>192</v>
      </c>
      <c r="E218" s="240" t="s">
        <v>193</v>
      </c>
      <c r="F218" s="240" t="s">
        <v>194</v>
      </c>
      <c r="G218" s="240" t="s">
        <v>195</v>
      </c>
      <c r="H218" s="255"/>
      <c r="I218" s="255"/>
      <c r="J218" s="255"/>
      <c r="K218" s="255"/>
      <c r="L218" s="255"/>
      <c r="M218" s="255"/>
      <c r="N218" s="255"/>
      <c r="O218" s="255"/>
      <c r="P218" s="255"/>
      <c r="Q218" s="255"/>
      <c r="R218" s="255"/>
      <c r="S218" s="255"/>
      <c r="T218" s="255"/>
      <c r="U218" s="255"/>
      <c r="V218" s="255"/>
      <c r="W218" s="255"/>
      <c r="X218" s="255"/>
      <c r="Y218" s="255"/>
      <c r="Z218" s="255"/>
      <c r="AA218" s="255"/>
      <c r="AB218" s="255"/>
      <c r="AC218" s="255"/>
      <c r="AD218" s="255"/>
      <c r="AE218" s="255"/>
      <c r="AF218" s="255"/>
      <c r="AG218" s="255"/>
      <c r="AH218" s="255"/>
      <c r="AI218" s="255"/>
      <c r="AJ218" s="255"/>
      <c r="AK218" s="255"/>
      <c r="AL218" s="255"/>
      <c r="AM218" s="255"/>
      <c r="AN218" s="255"/>
      <c r="AO218" s="255"/>
      <c r="AP218" s="255"/>
      <c r="AQ218" s="255"/>
      <c r="AR218" s="255"/>
      <c r="AS218" s="255"/>
      <c r="AT218" s="255"/>
      <c r="AU218" s="255"/>
      <c r="AV218" s="255"/>
      <c r="AW218" s="255"/>
      <c r="AX218" s="255"/>
      <c r="AY218" s="255"/>
      <c r="AZ218" s="255"/>
      <c r="BA218" s="255"/>
      <c r="BB218" s="255"/>
      <c r="BC218" s="255"/>
      <c r="BD218" s="255"/>
      <c r="BE218" s="255"/>
      <c r="BF218" s="255"/>
      <c r="BG218" s="255"/>
      <c r="BH218" s="255"/>
      <c r="BI218" s="255"/>
      <c r="BJ218" s="255"/>
      <c r="BK218" s="255"/>
      <c r="BL218" s="255"/>
      <c r="BM218" s="255"/>
      <c r="BN218" s="255"/>
      <c r="BO218" s="255"/>
      <c r="BP218" s="255"/>
      <c r="BQ218" s="255"/>
      <c r="BR218" s="255"/>
      <c r="BS218" s="255"/>
    </row>
    <row r="219" spans="1:71" x14ac:dyDescent="0.25">
      <c r="A219" s="255"/>
      <c r="B219" s="240" t="s">
        <v>189</v>
      </c>
      <c r="C219" s="273">
        <f>E$206</f>
        <v>0</v>
      </c>
      <c r="D219" s="274">
        <f>C213</f>
        <v>0</v>
      </c>
      <c r="E219" s="270">
        <f>I213</f>
        <v>0</v>
      </c>
      <c r="F219" s="270">
        <f>I215</f>
        <v>0</v>
      </c>
      <c r="G219" s="243">
        <f>C219*D219+E219+F219</f>
        <v>0</v>
      </c>
      <c r="H219" s="255"/>
      <c r="I219" s="255"/>
      <c r="J219" s="255"/>
      <c r="K219" s="255"/>
      <c r="L219" s="255"/>
      <c r="M219" s="255"/>
      <c r="N219" s="255"/>
      <c r="O219" s="255"/>
      <c r="P219" s="255"/>
      <c r="Q219" s="255"/>
      <c r="R219" s="255"/>
      <c r="S219" s="255"/>
      <c r="T219" s="255"/>
      <c r="U219" s="255"/>
      <c r="V219" s="255"/>
      <c r="W219" s="255"/>
      <c r="X219" s="255"/>
      <c r="Y219" s="255"/>
      <c r="Z219" s="255"/>
      <c r="AA219" s="255"/>
      <c r="AB219" s="255"/>
      <c r="AC219" s="255"/>
      <c r="AD219" s="255"/>
      <c r="AE219" s="255"/>
      <c r="AF219" s="255"/>
      <c r="AG219" s="255"/>
      <c r="AH219" s="255"/>
      <c r="AI219" s="255"/>
      <c r="AJ219" s="255"/>
      <c r="AK219" s="255"/>
      <c r="AL219" s="255"/>
      <c r="AM219" s="255"/>
      <c r="AN219" s="255"/>
      <c r="AO219" s="255"/>
      <c r="AP219" s="255"/>
      <c r="AQ219" s="255"/>
      <c r="AR219" s="255"/>
      <c r="AS219" s="255"/>
      <c r="AT219" s="255"/>
      <c r="AU219" s="255"/>
      <c r="AV219" s="255"/>
      <c r="AW219" s="255"/>
      <c r="AX219" s="255"/>
      <c r="AY219" s="255"/>
      <c r="AZ219" s="255"/>
      <c r="BA219" s="255"/>
      <c r="BB219" s="255"/>
      <c r="BC219" s="255"/>
      <c r="BD219" s="255"/>
      <c r="BE219" s="255"/>
      <c r="BF219" s="255"/>
      <c r="BG219" s="255"/>
      <c r="BH219" s="255"/>
      <c r="BI219" s="255"/>
      <c r="BJ219" s="255"/>
      <c r="BK219" s="255"/>
      <c r="BL219" s="255"/>
      <c r="BM219" s="255"/>
      <c r="BN219" s="255"/>
      <c r="BO219" s="255"/>
      <c r="BP219" s="255"/>
      <c r="BQ219" s="255"/>
      <c r="BR219" s="255"/>
      <c r="BS219" s="255"/>
    </row>
    <row r="220" spans="1:71" x14ac:dyDescent="0.25">
      <c r="A220" s="255"/>
      <c r="B220" s="240" t="s">
        <v>190</v>
      </c>
      <c r="C220" s="273">
        <f t="shared" ref="C220:C221" si="60">E$206</f>
        <v>0</v>
      </c>
      <c r="D220" s="274">
        <f>C214</f>
        <v>0</v>
      </c>
      <c r="E220" s="270">
        <f>I214</f>
        <v>0</v>
      </c>
      <c r="F220" s="270">
        <f>I216</f>
        <v>0</v>
      </c>
      <c r="G220" s="243">
        <f>C220*D220+E220+F220</f>
        <v>0</v>
      </c>
      <c r="H220" s="255"/>
      <c r="I220" s="255"/>
      <c r="J220" s="255"/>
      <c r="K220" s="255"/>
      <c r="L220" s="255"/>
      <c r="M220" s="255"/>
      <c r="N220" s="255"/>
      <c r="O220" s="255"/>
      <c r="P220" s="255"/>
      <c r="Q220" s="255"/>
      <c r="R220" s="255"/>
      <c r="S220" s="255"/>
      <c r="T220" s="255"/>
      <c r="U220" s="255"/>
      <c r="V220" s="255"/>
      <c r="W220" s="255"/>
      <c r="X220" s="255"/>
      <c r="Y220" s="255"/>
      <c r="Z220" s="255"/>
      <c r="AA220" s="255"/>
      <c r="AB220" s="255"/>
      <c r="AC220" s="255"/>
      <c r="AD220" s="255"/>
      <c r="AE220" s="255"/>
      <c r="AF220" s="255"/>
      <c r="AG220" s="255"/>
      <c r="AH220" s="255"/>
      <c r="AI220" s="255"/>
      <c r="AJ220" s="255"/>
      <c r="AK220" s="255"/>
      <c r="AL220" s="255"/>
      <c r="AM220" s="255"/>
      <c r="AN220" s="255"/>
      <c r="AO220" s="255"/>
      <c r="AP220" s="255"/>
      <c r="AQ220" s="255"/>
      <c r="AR220" s="255"/>
      <c r="AS220" s="255"/>
      <c r="AT220" s="255"/>
      <c r="AU220" s="255"/>
      <c r="AV220" s="255"/>
      <c r="AW220" s="255"/>
      <c r="AX220" s="255"/>
      <c r="AY220" s="255"/>
      <c r="AZ220" s="255"/>
      <c r="BA220" s="255"/>
      <c r="BB220" s="255"/>
      <c r="BC220" s="255"/>
      <c r="BD220" s="255"/>
      <c r="BE220" s="255"/>
      <c r="BF220" s="255"/>
      <c r="BG220" s="255"/>
      <c r="BH220" s="255"/>
      <c r="BI220" s="255"/>
      <c r="BJ220" s="255"/>
      <c r="BK220" s="255"/>
      <c r="BL220" s="255"/>
      <c r="BM220" s="255"/>
      <c r="BN220" s="255"/>
      <c r="BO220" s="255"/>
      <c r="BP220" s="255"/>
      <c r="BQ220" s="255"/>
      <c r="BR220" s="255"/>
      <c r="BS220" s="255"/>
    </row>
    <row r="221" spans="1:71" x14ac:dyDescent="0.25">
      <c r="A221" s="255"/>
      <c r="B221" s="240" t="s">
        <v>191</v>
      </c>
      <c r="C221" s="273">
        <f t="shared" si="60"/>
        <v>0</v>
      </c>
      <c r="D221" s="274">
        <f>C215</f>
        <v>0</v>
      </c>
      <c r="E221" s="271"/>
      <c r="F221" s="271"/>
      <c r="G221" s="243">
        <f>C221*D221</f>
        <v>0</v>
      </c>
      <c r="H221" s="255"/>
      <c r="I221" s="255"/>
      <c r="J221" s="255"/>
      <c r="K221" s="255"/>
      <c r="L221" s="255"/>
      <c r="M221" s="255"/>
      <c r="N221" s="255"/>
      <c r="O221" s="255"/>
      <c r="P221" s="255"/>
      <c r="Q221" s="255"/>
      <c r="R221" s="255"/>
      <c r="S221" s="255"/>
      <c r="T221" s="255"/>
      <c r="U221" s="255"/>
      <c r="V221" s="255"/>
      <c r="W221" s="255"/>
      <c r="X221" s="255"/>
      <c r="Y221" s="255"/>
      <c r="Z221" s="255"/>
      <c r="AA221" s="255"/>
      <c r="AB221" s="255"/>
      <c r="AC221" s="255"/>
      <c r="AD221" s="255"/>
      <c r="AE221" s="255"/>
      <c r="AF221" s="255"/>
      <c r="AG221" s="255"/>
      <c r="AH221" s="255"/>
      <c r="AI221" s="255"/>
      <c r="AJ221" s="255"/>
      <c r="AK221" s="255"/>
      <c r="AL221" s="255"/>
      <c r="AM221" s="255"/>
      <c r="AN221" s="255"/>
      <c r="AO221" s="255"/>
      <c r="AP221" s="255"/>
      <c r="AQ221" s="255"/>
      <c r="AR221" s="255"/>
      <c r="AS221" s="255"/>
      <c r="AT221" s="255"/>
      <c r="AU221" s="255"/>
      <c r="AV221" s="255"/>
      <c r="AW221" s="255"/>
      <c r="AX221" s="255"/>
      <c r="AY221" s="255"/>
      <c r="AZ221" s="255"/>
      <c r="BA221" s="255"/>
      <c r="BB221" s="255"/>
      <c r="BC221" s="255"/>
      <c r="BD221" s="255"/>
      <c r="BE221" s="255"/>
      <c r="BF221" s="255"/>
      <c r="BG221" s="255"/>
      <c r="BH221" s="255"/>
      <c r="BI221" s="255"/>
      <c r="BJ221" s="255"/>
      <c r="BK221" s="255"/>
      <c r="BL221" s="255"/>
      <c r="BM221" s="255"/>
      <c r="BN221" s="255"/>
      <c r="BO221" s="255"/>
      <c r="BP221" s="255"/>
      <c r="BQ221" s="255"/>
      <c r="BR221" s="255"/>
      <c r="BS221" s="255"/>
    </row>
    <row r="222" spans="1:71" x14ac:dyDescent="0.25">
      <c r="A222" s="255"/>
      <c r="B222" s="255"/>
      <c r="C222" s="255"/>
      <c r="D222" s="255"/>
      <c r="E222" s="255"/>
      <c r="F222" s="255"/>
      <c r="G222" s="255"/>
      <c r="H222" s="255"/>
      <c r="I222" s="255"/>
      <c r="J222" s="255"/>
      <c r="K222" s="255"/>
      <c r="L222" s="255"/>
      <c r="M222" s="255"/>
      <c r="N222" s="255"/>
      <c r="O222" s="255"/>
      <c r="P222" s="255"/>
      <c r="Q222" s="255"/>
      <c r="R222" s="255"/>
      <c r="S222" s="255"/>
      <c r="T222" s="255"/>
      <c r="U222" s="255"/>
      <c r="V222" s="255"/>
      <c r="W222" s="255"/>
      <c r="X222" s="255"/>
      <c r="Y222" s="255"/>
      <c r="Z222" s="255"/>
      <c r="AA222" s="255"/>
      <c r="AB222" s="255"/>
      <c r="AC222" s="255"/>
      <c r="AD222" s="255"/>
      <c r="AE222" s="255"/>
      <c r="AF222" s="255"/>
      <c r="AG222" s="255"/>
      <c r="AH222" s="255"/>
      <c r="AI222" s="255"/>
      <c r="AJ222" s="255"/>
      <c r="AK222" s="255"/>
      <c r="AL222" s="255"/>
      <c r="AM222" s="255"/>
      <c r="AN222" s="255"/>
      <c r="AO222" s="255"/>
      <c r="AP222" s="255"/>
      <c r="AQ222" s="255"/>
      <c r="AR222" s="255"/>
      <c r="AS222" s="255"/>
      <c r="AT222" s="255"/>
      <c r="AU222" s="255"/>
      <c r="AV222" s="255"/>
      <c r="AW222" s="255"/>
      <c r="AX222" s="255"/>
      <c r="AY222" s="255"/>
      <c r="AZ222" s="255"/>
      <c r="BA222" s="255"/>
      <c r="BB222" s="255"/>
      <c r="BC222" s="255"/>
      <c r="BD222" s="255"/>
      <c r="BE222" s="255"/>
      <c r="BF222" s="255"/>
      <c r="BG222" s="255"/>
      <c r="BH222" s="255"/>
      <c r="BI222" s="255"/>
      <c r="BJ222" s="255"/>
      <c r="BK222" s="255"/>
      <c r="BL222" s="255"/>
      <c r="BM222" s="255"/>
      <c r="BN222" s="255"/>
      <c r="BO222" s="255"/>
      <c r="BP222" s="255"/>
      <c r="BQ222" s="255"/>
      <c r="BR222" s="255"/>
      <c r="BS222" s="255"/>
    </row>
    <row r="223" spans="1:71" x14ac:dyDescent="0.25">
      <c r="A223" s="255"/>
      <c r="B223" s="239" t="s">
        <v>416</v>
      </c>
      <c r="C223" s="255"/>
      <c r="D223" s="255"/>
      <c r="E223" s="255"/>
      <c r="F223" s="255"/>
      <c r="G223" s="255"/>
      <c r="H223" s="255"/>
      <c r="I223" s="255"/>
      <c r="J223" s="255"/>
      <c r="K223" s="255"/>
      <c r="L223" s="255"/>
      <c r="M223" s="255"/>
      <c r="N223" s="255"/>
      <c r="O223" s="255"/>
      <c r="P223" s="255"/>
      <c r="Q223" s="255"/>
      <c r="R223" s="255"/>
      <c r="S223" s="255"/>
      <c r="T223" s="255"/>
      <c r="U223" s="255"/>
      <c r="V223" s="255"/>
      <c r="W223" s="255"/>
      <c r="X223" s="255"/>
      <c r="Y223" s="255"/>
      <c r="Z223" s="255"/>
      <c r="AA223" s="255"/>
      <c r="AB223" s="255"/>
      <c r="AC223" s="255"/>
      <c r="AD223" s="255"/>
      <c r="AE223" s="255"/>
      <c r="AF223" s="255"/>
      <c r="AG223" s="255"/>
      <c r="AH223" s="255"/>
      <c r="AI223" s="255"/>
      <c r="AJ223" s="255"/>
      <c r="AK223" s="255"/>
      <c r="AL223" s="255"/>
      <c r="AM223" s="255"/>
      <c r="AN223" s="255"/>
      <c r="AO223" s="255"/>
      <c r="AP223" s="255"/>
      <c r="AQ223" s="255"/>
      <c r="AR223" s="255"/>
      <c r="AS223" s="255"/>
      <c r="AT223" s="255"/>
      <c r="AU223" s="255"/>
      <c r="AV223" s="255"/>
      <c r="AW223" s="255"/>
      <c r="AX223" s="255"/>
      <c r="AY223" s="255"/>
      <c r="AZ223" s="255"/>
      <c r="BA223" s="255"/>
      <c r="BB223" s="255"/>
      <c r="BC223" s="255"/>
      <c r="BD223" s="255"/>
      <c r="BE223" s="255"/>
      <c r="BF223" s="255"/>
      <c r="BG223" s="255"/>
      <c r="BH223" s="255"/>
      <c r="BI223" s="255"/>
      <c r="BJ223" s="255"/>
      <c r="BK223" s="255"/>
      <c r="BL223" s="255"/>
      <c r="BM223" s="255"/>
      <c r="BN223" s="255"/>
      <c r="BO223" s="255"/>
      <c r="BP223" s="255"/>
      <c r="BQ223" s="255"/>
      <c r="BR223" s="255"/>
      <c r="BS223" s="255"/>
    </row>
    <row r="224" spans="1:71" x14ac:dyDescent="0.25">
      <c r="A224" s="255"/>
      <c r="B224" s="239" t="s">
        <v>417</v>
      </c>
      <c r="C224" s="240">
        <v>1</v>
      </c>
      <c r="D224" s="240">
        <v>2</v>
      </c>
      <c r="E224" s="240">
        <v>3</v>
      </c>
      <c r="F224" s="240">
        <v>4</v>
      </c>
      <c r="G224" s="240">
        <v>5</v>
      </c>
      <c r="H224" s="240">
        <v>6</v>
      </c>
      <c r="I224" s="240">
        <v>7</v>
      </c>
      <c r="J224" s="255"/>
      <c r="K224" s="255"/>
      <c r="L224" s="255"/>
      <c r="M224" s="255"/>
      <c r="N224" s="255"/>
      <c r="O224" s="255"/>
      <c r="P224" s="255"/>
      <c r="Q224" s="255"/>
      <c r="R224" s="255"/>
      <c r="S224" s="255"/>
      <c r="T224" s="255"/>
      <c r="U224" s="255"/>
      <c r="V224" s="255"/>
      <c r="W224" s="255"/>
      <c r="X224" s="255"/>
      <c r="Y224" s="255"/>
      <c r="Z224" s="255"/>
      <c r="AA224" s="255"/>
      <c r="AB224" s="255"/>
      <c r="AC224" s="255"/>
      <c r="AD224" s="255"/>
      <c r="AE224" s="255"/>
      <c r="AF224" s="255"/>
      <c r="AG224" s="255"/>
      <c r="AH224" s="255"/>
      <c r="AI224" s="255"/>
      <c r="AJ224" s="255"/>
      <c r="AK224" s="255"/>
      <c r="AL224" s="255"/>
      <c r="AM224" s="255"/>
      <c r="AN224" s="255"/>
      <c r="AO224" s="255"/>
      <c r="AP224" s="255"/>
      <c r="AQ224" s="255"/>
      <c r="AR224" s="255"/>
      <c r="AS224" s="255"/>
      <c r="AT224" s="255"/>
      <c r="AU224" s="255"/>
      <c r="AV224" s="255"/>
      <c r="AW224" s="255"/>
      <c r="AX224" s="255"/>
      <c r="AY224" s="255"/>
      <c r="AZ224" s="255"/>
      <c r="BA224" s="255"/>
      <c r="BB224" s="255"/>
      <c r="BC224" s="255"/>
      <c r="BD224" s="255"/>
      <c r="BE224" s="255"/>
      <c r="BF224" s="255"/>
      <c r="BG224" s="255"/>
      <c r="BH224" s="255"/>
      <c r="BI224" s="255"/>
      <c r="BJ224" s="255"/>
      <c r="BK224" s="255"/>
      <c r="BL224" s="255"/>
      <c r="BM224" s="255"/>
      <c r="BN224" s="255"/>
      <c r="BO224" s="255"/>
      <c r="BP224" s="255"/>
      <c r="BQ224" s="255"/>
      <c r="BR224" s="255"/>
      <c r="BS224" s="255"/>
    </row>
    <row r="225" spans="1:71" x14ac:dyDescent="0.25">
      <c r="A225" s="255"/>
      <c r="B225" s="239" t="s">
        <v>420</v>
      </c>
      <c r="C225" s="335">
        <v>0</v>
      </c>
      <c r="D225" s="335">
        <v>0</v>
      </c>
      <c r="E225" s="335">
        <v>0</v>
      </c>
      <c r="F225" s="335">
        <v>0</v>
      </c>
      <c r="G225" s="335">
        <v>0</v>
      </c>
      <c r="H225" s="335">
        <v>0</v>
      </c>
      <c r="I225" s="335">
        <v>0</v>
      </c>
      <c r="J225" s="255"/>
      <c r="K225" s="255"/>
      <c r="L225" s="255"/>
      <c r="M225" s="255"/>
      <c r="N225" s="255"/>
      <c r="O225" s="255"/>
      <c r="P225" s="255"/>
      <c r="Q225" s="255"/>
      <c r="R225" s="255"/>
      <c r="S225" s="255"/>
      <c r="T225" s="255"/>
      <c r="U225" s="255"/>
      <c r="V225" s="255"/>
      <c r="W225" s="255"/>
      <c r="X225" s="255"/>
      <c r="Y225" s="255"/>
      <c r="Z225" s="255"/>
      <c r="AA225" s="255"/>
      <c r="AB225" s="255"/>
      <c r="AC225" s="255"/>
      <c r="AD225" s="255"/>
      <c r="AE225" s="255"/>
      <c r="AF225" s="255"/>
      <c r="AG225" s="255"/>
      <c r="AH225" s="255"/>
      <c r="AI225" s="255"/>
      <c r="AJ225" s="255"/>
      <c r="AK225" s="255"/>
      <c r="AL225" s="255"/>
      <c r="AM225" s="255"/>
      <c r="AN225" s="255"/>
      <c r="AO225" s="255"/>
      <c r="AP225" s="255"/>
      <c r="AQ225" s="255"/>
      <c r="AR225" s="255"/>
      <c r="AS225" s="255"/>
      <c r="AT225" s="255"/>
      <c r="AU225" s="255"/>
      <c r="AV225" s="255"/>
      <c r="AW225" s="255"/>
      <c r="AX225" s="255"/>
      <c r="AY225" s="255"/>
      <c r="AZ225" s="255"/>
      <c r="BA225" s="255"/>
      <c r="BB225" s="255"/>
      <c r="BC225" s="255"/>
      <c r="BD225" s="255"/>
      <c r="BE225" s="255"/>
      <c r="BF225" s="255"/>
      <c r="BG225" s="255"/>
      <c r="BH225" s="255"/>
      <c r="BI225" s="255"/>
      <c r="BJ225" s="255"/>
      <c r="BK225" s="255"/>
      <c r="BL225" s="255"/>
      <c r="BM225" s="255"/>
      <c r="BN225" s="255"/>
      <c r="BO225" s="255"/>
      <c r="BP225" s="255"/>
      <c r="BQ225" s="255"/>
      <c r="BR225" s="255"/>
      <c r="BS225" s="255"/>
    </row>
    <row r="226" spans="1:71" x14ac:dyDescent="0.25">
      <c r="A226" s="255"/>
      <c r="B226" s="239" t="s">
        <v>194</v>
      </c>
      <c r="C226" s="272">
        <v>1.5</v>
      </c>
      <c r="D226" s="272">
        <v>1.5</v>
      </c>
      <c r="E226" s="272">
        <v>1.5</v>
      </c>
      <c r="F226" s="272">
        <v>1.5</v>
      </c>
      <c r="G226" s="272">
        <v>1.5</v>
      </c>
      <c r="H226" s="272">
        <v>1.5</v>
      </c>
      <c r="I226" s="272">
        <v>1.5</v>
      </c>
      <c r="J226" s="255"/>
      <c r="K226" s="255"/>
      <c r="L226" s="255"/>
      <c r="M226" s="255"/>
      <c r="N226" s="255"/>
      <c r="O226" s="255"/>
      <c r="P226" s="255"/>
      <c r="Q226" s="255"/>
      <c r="R226" s="255"/>
      <c r="S226" s="255"/>
      <c r="T226" s="255"/>
      <c r="U226" s="255"/>
      <c r="V226" s="255"/>
      <c r="W226" s="255"/>
      <c r="X226" s="255"/>
      <c r="Y226" s="255"/>
      <c r="Z226" s="255"/>
      <c r="AA226" s="255"/>
      <c r="AB226" s="255"/>
      <c r="AC226" s="255"/>
      <c r="AD226" s="255"/>
      <c r="AE226" s="255"/>
      <c r="AF226" s="255"/>
      <c r="AG226" s="255"/>
      <c r="AH226" s="255"/>
      <c r="AI226" s="255"/>
      <c r="AJ226" s="255"/>
      <c r="AK226" s="255"/>
      <c r="AL226" s="255"/>
      <c r="AM226" s="255"/>
      <c r="AN226" s="255"/>
      <c r="AO226" s="255"/>
      <c r="AP226" s="255"/>
      <c r="AQ226" s="255"/>
      <c r="AR226" s="255"/>
      <c r="AS226" s="255"/>
      <c r="AT226" s="255"/>
      <c r="AU226" s="255"/>
      <c r="AV226" s="255"/>
      <c r="AW226" s="255"/>
      <c r="AX226" s="255"/>
      <c r="AY226" s="255"/>
      <c r="AZ226" s="255"/>
      <c r="BA226" s="255"/>
      <c r="BB226" s="255"/>
      <c r="BC226" s="255"/>
      <c r="BD226" s="255"/>
      <c r="BE226" s="255"/>
      <c r="BF226" s="255"/>
      <c r="BG226" s="255"/>
      <c r="BH226" s="255"/>
      <c r="BI226" s="255"/>
      <c r="BJ226" s="255"/>
      <c r="BK226" s="255"/>
      <c r="BL226" s="255"/>
      <c r="BM226" s="255"/>
      <c r="BN226" s="255"/>
      <c r="BO226" s="255"/>
      <c r="BP226" s="255"/>
      <c r="BQ226" s="255"/>
      <c r="BR226" s="255"/>
      <c r="BS226" s="255"/>
    </row>
    <row r="227" spans="1:71" x14ac:dyDescent="0.25">
      <c r="A227" s="255"/>
      <c r="B227" s="239" t="s">
        <v>209</v>
      </c>
      <c r="C227" s="238">
        <f>TRUNC(C225/C226,2)</f>
        <v>0</v>
      </c>
      <c r="D227" s="238">
        <f t="shared" ref="D227:I227" si="61">TRUNC(D225/D226,2)</f>
        <v>0</v>
      </c>
      <c r="E227" s="238">
        <f t="shared" si="61"/>
        <v>0</v>
      </c>
      <c r="F227" s="238">
        <f t="shared" si="61"/>
        <v>0</v>
      </c>
      <c r="G227" s="238">
        <f t="shared" si="61"/>
        <v>0</v>
      </c>
      <c r="H227" s="238">
        <f t="shared" si="61"/>
        <v>0</v>
      </c>
      <c r="I227" s="238">
        <f t="shared" si="61"/>
        <v>0</v>
      </c>
      <c r="J227" s="255"/>
      <c r="K227" s="255"/>
      <c r="L227" s="255"/>
      <c r="M227" s="255"/>
      <c r="N227" s="255"/>
      <c r="O227" s="255"/>
      <c r="P227" s="255"/>
      <c r="Q227" s="255"/>
      <c r="R227" s="255"/>
      <c r="S227" s="255"/>
      <c r="T227" s="255"/>
      <c r="U227" s="255"/>
      <c r="V227" s="255"/>
      <c r="W227" s="255"/>
      <c r="X227" s="255"/>
      <c r="Y227" s="255"/>
      <c r="Z227" s="255"/>
      <c r="AA227" s="255"/>
      <c r="AB227" s="255"/>
      <c r="AC227" s="255"/>
      <c r="AD227" s="255"/>
      <c r="AE227" s="255"/>
      <c r="AF227" s="255"/>
      <c r="AG227" s="255"/>
      <c r="AH227" s="255"/>
      <c r="AI227" s="255"/>
      <c r="AJ227" s="255"/>
      <c r="AK227" s="255"/>
      <c r="AL227" s="255"/>
      <c r="AM227" s="255"/>
      <c r="AN227" s="255"/>
      <c r="AO227" s="255"/>
      <c r="AP227" s="255"/>
      <c r="AQ227" s="255"/>
      <c r="AR227" s="255"/>
      <c r="AS227" s="255"/>
      <c r="AT227" s="255"/>
      <c r="AU227" s="255"/>
      <c r="AV227" s="255"/>
      <c r="AW227" s="255"/>
      <c r="AX227" s="255"/>
      <c r="AY227" s="255"/>
      <c r="AZ227" s="255"/>
      <c r="BA227" s="255"/>
      <c r="BB227" s="255"/>
      <c r="BC227" s="255"/>
      <c r="BD227" s="255"/>
      <c r="BE227" s="255"/>
      <c r="BF227" s="255"/>
      <c r="BG227" s="255"/>
      <c r="BH227" s="255"/>
      <c r="BI227" s="255"/>
      <c r="BJ227" s="255"/>
      <c r="BK227" s="255"/>
      <c r="BL227" s="255"/>
      <c r="BM227" s="255"/>
      <c r="BN227" s="255"/>
      <c r="BO227" s="255"/>
      <c r="BP227" s="255"/>
      <c r="BQ227" s="255"/>
      <c r="BR227" s="255"/>
      <c r="BS227" s="255"/>
    </row>
    <row r="228" spans="1:71" x14ac:dyDescent="0.25">
      <c r="A228" s="255"/>
      <c r="B228" s="237" t="s">
        <v>211</v>
      </c>
      <c r="C228" s="315"/>
      <c r="D228" s="315"/>
      <c r="E228" s="315"/>
      <c r="F228" s="315"/>
      <c r="G228" s="315"/>
      <c r="H228" s="315"/>
      <c r="I228" s="315"/>
      <c r="J228" s="255"/>
      <c r="K228" s="255"/>
      <c r="L228" s="255"/>
      <c r="M228" s="255"/>
      <c r="N228" s="255"/>
      <c r="O228" s="255"/>
      <c r="P228" s="255"/>
      <c r="Q228" s="255"/>
      <c r="R228" s="255"/>
      <c r="S228" s="255"/>
      <c r="T228" s="255"/>
      <c r="U228" s="255"/>
      <c r="V228" s="255"/>
      <c r="W228" s="255"/>
      <c r="X228" s="255"/>
      <c r="Y228" s="255"/>
      <c r="Z228" s="255"/>
      <c r="AA228" s="255"/>
      <c r="AB228" s="255"/>
      <c r="AC228" s="255"/>
      <c r="AD228" s="255"/>
      <c r="AE228" s="255"/>
      <c r="AF228" s="255"/>
      <c r="AG228" s="255"/>
      <c r="AH228" s="255"/>
      <c r="AI228" s="255"/>
      <c r="AJ228" s="255"/>
      <c r="AK228" s="255"/>
      <c r="AL228" s="255"/>
      <c r="AM228" s="255"/>
      <c r="AN228" s="255"/>
      <c r="AO228" s="255"/>
      <c r="AP228" s="255"/>
      <c r="AQ228" s="255"/>
      <c r="AR228" s="255"/>
      <c r="AS228" s="255"/>
      <c r="AT228" s="255"/>
      <c r="AU228" s="255"/>
      <c r="AV228" s="255"/>
      <c r="AW228" s="255"/>
      <c r="AX228" s="255"/>
      <c r="AY228" s="255"/>
      <c r="AZ228" s="255"/>
      <c r="BA228" s="255"/>
      <c r="BB228" s="255"/>
      <c r="BC228" s="255"/>
      <c r="BD228" s="255"/>
      <c r="BE228" s="255"/>
      <c r="BF228" s="255"/>
      <c r="BG228" s="255"/>
      <c r="BH228" s="255"/>
      <c r="BI228" s="255"/>
      <c r="BJ228" s="255"/>
      <c r="BK228" s="255"/>
      <c r="BL228" s="255"/>
      <c r="BM228" s="255"/>
      <c r="BN228" s="255"/>
      <c r="BO228" s="255"/>
      <c r="BP228" s="255"/>
      <c r="BQ228" s="255"/>
      <c r="BR228" s="255"/>
      <c r="BS228" s="255"/>
    </row>
    <row r="229" spans="1:71" x14ac:dyDescent="0.25">
      <c r="A229" s="255"/>
      <c r="B229" s="239" t="s">
        <v>421</v>
      </c>
      <c r="C229" s="238" cm="1">
        <f t="array" ref="C229">IFERROR(
IF(
  OR($E$207&lt;MIN($S$123:$S$125),$E$207&gt;MAX($S$123:$S$125),C228&lt;MIN($T$122:$AF$122),C228&gt;MAX($T$122:$AF$122)),
  0,
  (
    INDEX($T$123:$AF$125,MATCH($E$207,$S$123:$S$125,-1),MATCH(C228,$T$122:$AF$122,1))*
      ($E$207-INDEX($S$123:$S$125,MATCH($E$207,$S$123:$S$125,-1)+1))*
      (INDEX($T$122:$AF$122,1,MATCH(C228,$T$122:$AF$122,1)+1)-C228)
  +
    INDEX($T$123:$AF$125,MATCH($E$207,$S$123:$S$125,-1)+1,MATCH(C228,$T$122:$AF$122,1))*
      (INDEX($S$123:$S$125,MATCH($E$207,$S$123:$S$125,-1))-$E$207)*
      (INDEX($T$122:$AF$122,1,MATCH(C228,$T$122:$AF$122,1)+1)-C228)
  +
    INDEX($T$123:$AF$125,MATCH($E$207,$S$123:$S$125,-1),MATCH(C228,$T$122:$AF$122,1)+1)*
      ($E$207-INDEX($S$123:$S$125,MATCH($E$207,$S$123:$S$125,-1)+1))*
      (C228-INDEX($T$122:$AF$122,1,MATCH(C228,$T$122:$AF$122,1)))
  +
    INDEX($T$123:$AF$125,MATCH($E$207,$S$123:$S$125,-1)+1,MATCH(C228,$T$122:$AF$122,1)+1)*
      (INDEX($S$123:$S$125,MATCH($E$207,$S$123:$S$125,-1))-$E$207)*
      (C228-INDEX($T$122:$AF$122,1,MATCH(C228,$T$122:$AF$122,1)))
  )
  /
  (
    (INDEX($S$123:$S$125,MATCH($E$207,$S$123:$S$125,-1))-INDEX($S$123:$S$125,MATCH($E$207,$S$123:$S$125,-1)+1))*
    (INDEX($T$122:$AF$122,1,MATCH(C228,$T$122:$AF$122,1)+1)-INDEX($T$122:$AF$122,1,MATCH(C228,$T$122:$AF$122,1)))
  )
),
0)</f>
        <v>0</v>
      </c>
      <c r="D229" s="238" cm="1">
        <f t="array" ref="D229">IFERROR(
IF(
  OR($E$207&lt;MIN($S$123:$S$125),$E$207&gt;MAX($S$123:$S$125),D228&lt;MIN($T$122:$AF$122),D228&gt;MAX($T$122:$AF$122)),
  0,
  (
    INDEX($T$123:$AF$125,MATCH($E$207,$S$123:$S$125,-1),MATCH(D228,$T$122:$AF$122,1))*
      ($E$207-INDEX($S$123:$S$125,MATCH($E$207,$S$123:$S$125,-1)+1))*
      (INDEX($T$122:$AF$122,1,MATCH(D228,$T$122:$AF$122,1)+1)-D228)
  +
    INDEX($T$123:$AF$125,MATCH($E$207,$S$123:$S$125,-1)+1,MATCH(D228,$T$122:$AF$122,1))*
      (INDEX($S$123:$S$125,MATCH($E$207,$S$123:$S$125,-1))-$E$207)*
      (INDEX($T$122:$AF$122,1,MATCH(D228,$T$122:$AF$122,1)+1)-D228)
  +
    INDEX($T$123:$AF$125,MATCH($E$207,$S$123:$S$125,-1),MATCH(D228,$T$122:$AF$122,1)+1)*
      ($E$207-INDEX($S$123:$S$125,MATCH($E$207,$S$123:$S$125,-1)+1))*
      (D228-INDEX($T$122:$AF$122,1,MATCH(D228,$T$122:$AF$122,1)))
  +
    INDEX($T$123:$AF$125,MATCH($E$207,$S$123:$S$125,-1)+1,MATCH(D228,$T$122:$AF$122,1)+1)*
      (INDEX($S$123:$S$125,MATCH($E$207,$S$123:$S$125,-1))-$E$207)*
      (D228-INDEX($T$122:$AF$122,1,MATCH(D228,$T$122:$AF$122,1)))
  )
  /
  (
    (INDEX($S$123:$S$125,MATCH($E$207,$S$123:$S$125,-1))-INDEX($S$123:$S$125,MATCH($E$207,$S$123:$S$125,-1)+1))*
    (INDEX($T$122:$AF$122,1,MATCH(D228,$T$122:$AF$122,1)+1)-INDEX($T$122:$AF$122,1,MATCH(D228,$T$122:$AF$122,1)))
  )
),
0)</f>
        <v>0</v>
      </c>
      <c r="E229" s="238" cm="1">
        <f t="array" ref="E229">IFERROR(
IF(
  OR($E$207&lt;MIN($S$123:$S$125),$E$207&gt;MAX($S$123:$S$125),E228&lt;MIN($T$122:$AF$122),E228&gt;MAX($T$122:$AF$122)),
  0,
  (
    INDEX($T$123:$AF$125,MATCH($E$207,$S$123:$S$125,-1),MATCH(E228,$T$122:$AF$122,1))*
      ($E$207-INDEX($S$123:$S$125,MATCH($E$207,$S$123:$S$125,-1)+1))*
      (INDEX($T$122:$AF$122,1,MATCH(E228,$T$122:$AF$122,1)+1)-E228)
  +
    INDEX($T$123:$AF$125,MATCH($E$207,$S$123:$S$125,-1)+1,MATCH(E228,$T$122:$AF$122,1))*
      (INDEX($S$123:$S$125,MATCH($E$207,$S$123:$S$125,-1))-$E$207)*
      (INDEX($T$122:$AF$122,1,MATCH(E228,$T$122:$AF$122,1)+1)-E228)
  +
    INDEX($T$123:$AF$125,MATCH($E$207,$S$123:$S$125,-1),MATCH(E228,$T$122:$AF$122,1)+1)*
      ($E$207-INDEX($S$123:$S$125,MATCH($E$207,$S$123:$S$125,-1)+1))*
      (E228-INDEX($T$122:$AF$122,1,MATCH(E228,$T$122:$AF$122,1)))
  +
    INDEX($T$123:$AF$125,MATCH($E$207,$S$123:$S$125,-1)+1,MATCH(E228,$T$122:$AF$122,1)+1)*
      (INDEX($S$123:$S$125,MATCH($E$207,$S$123:$S$125,-1))-$E$207)*
      (E228-INDEX($T$122:$AF$122,1,MATCH(E228,$T$122:$AF$122,1)))
  )
  /
  (
    (INDEX($S$123:$S$125,MATCH($E$207,$S$123:$S$125,-1))-INDEX($S$123:$S$125,MATCH($E$207,$S$123:$S$125,-1)+1))*
    (INDEX($T$122:$AF$122,1,MATCH(E228,$T$122:$AF$122,1)+1)-INDEX($T$122:$AF$122,1,MATCH(E228,$T$122:$AF$122,1)))
  )
),
0)</f>
        <v>0</v>
      </c>
      <c r="F229" s="238" cm="1">
        <f t="array" ref="F229">IFERROR(
IF(
  OR($E$207&lt;MIN($S$123:$S$125),$E$207&gt;MAX($S$123:$S$125),F228&lt;MIN($T$122:$AF$122),F228&gt;MAX($T$122:$AF$122)),
  0,
  (
    INDEX($T$123:$AF$125,MATCH($E$207,$S$123:$S$125,-1),MATCH(F228,$T$122:$AF$122,1))*
      ($E$207-INDEX($S$123:$S$125,MATCH($E$207,$S$123:$S$125,-1)+1))*
      (INDEX($T$122:$AF$122,1,MATCH(F228,$T$122:$AF$122,1)+1)-F228)
  +
    INDEX($T$123:$AF$125,MATCH($E$207,$S$123:$S$125,-1)+1,MATCH(F228,$T$122:$AF$122,1))*
      (INDEX($S$123:$S$125,MATCH($E$207,$S$123:$S$125,-1))-$E$207)*
      (INDEX($T$122:$AF$122,1,MATCH(F228,$T$122:$AF$122,1)+1)-F228)
  +
    INDEX($T$123:$AF$125,MATCH($E$207,$S$123:$S$125,-1),MATCH(F228,$T$122:$AF$122,1)+1)*
      ($E$207-INDEX($S$123:$S$125,MATCH($E$207,$S$123:$S$125,-1)+1))*
      (F228-INDEX($T$122:$AF$122,1,MATCH(F228,$T$122:$AF$122,1)))
  +
    INDEX($T$123:$AF$125,MATCH($E$207,$S$123:$S$125,-1)+1,MATCH(F228,$T$122:$AF$122,1)+1)*
      (INDEX($S$123:$S$125,MATCH($E$207,$S$123:$S$125,-1))-$E$207)*
      (F228-INDEX($T$122:$AF$122,1,MATCH(F228,$T$122:$AF$122,1)))
  )
  /
  (
    (INDEX($S$123:$S$125,MATCH($E$207,$S$123:$S$125,-1))-INDEX($S$123:$S$125,MATCH($E$207,$S$123:$S$125,-1)+1))*
    (INDEX($T$122:$AF$122,1,MATCH(F228,$T$122:$AF$122,1)+1)-INDEX($T$122:$AF$122,1,MATCH(F228,$T$122:$AF$122,1)))
  )
),
0)</f>
        <v>0</v>
      </c>
      <c r="G229" s="238" cm="1">
        <f t="array" ref="G229">IFERROR(
IF(
  OR($E$207&lt;MIN($S$123:$S$125),$E$207&gt;MAX($S$123:$S$125),G228&lt;MIN($T$122:$AF$122),G228&gt;MAX($T$122:$AF$122)),
  0,
  (
    INDEX($T$123:$AF$125,MATCH($E$207,$S$123:$S$125,-1),MATCH(G228,$T$122:$AF$122,1))*
      ($E$207-INDEX($S$123:$S$125,MATCH($E$207,$S$123:$S$125,-1)+1))*
      (INDEX($T$122:$AF$122,1,MATCH(G228,$T$122:$AF$122,1)+1)-G228)
  +
    INDEX($T$123:$AF$125,MATCH($E$207,$S$123:$S$125,-1)+1,MATCH(G228,$T$122:$AF$122,1))*
      (INDEX($S$123:$S$125,MATCH($E$207,$S$123:$S$125,-1))-$E$207)*
      (INDEX($T$122:$AF$122,1,MATCH(G228,$T$122:$AF$122,1)+1)-G228)
  +
    INDEX($T$123:$AF$125,MATCH($E$207,$S$123:$S$125,-1),MATCH(G228,$T$122:$AF$122,1)+1)*
      ($E$207-INDEX($S$123:$S$125,MATCH($E$207,$S$123:$S$125,-1)+1))*
      (G228-INDEX($T$122:$AF$122,1,MATCH(G228,$T$122:$AF$122,1)))
  +
    INDEX($T$123:$AF$125,MATCH($E$207,$S$123:$S$125,-1)+1,MATCH(G228,$T$122:$AF$122,1)+1)*
      (INDEX($S$123:$S$125,MATCH($E$207,$S$123:$S$125,-1))-$E$207)*
      (G228-INDEX($T$122:$AF$122,1,MATCH(G228,$T$122:$AF$122,1)))
  )
  /
  (
    (INDEX($S$123:$S$125,MATCH($E$207,$S$123:$S$125,-1))-INDEX($S$123:$S$125,MATCH($E$207,$S$123:$S$125,-1)+1))*
    (INDEX($T$122:$AF$122,1,MATCH(G228,$T$122:$AF$122,1)+1)-INDEX($T$122:$AF$122,1,MATCH(G228,$T$122:$AF$122,1)))
  )
),
0)</f>
        <v>0</v>
      </c>
      <c r="H229" s="238" cm="1">
        <f t="array" ref="H229">IFERROR(
IF(
  OR($E$207&lt;MIN($S$123:$S$125),$E$207&gt;MAX($S$123:$S$125),H228&lt;MIN($T$122:$AF$122),H228&gt;MAX($T$122:$AF$122)),
  0,
  (
    INDEX($T$123:$AF$125,MATCH($E$207,$S$123:$S$125,-1),MATCH(H228,$T$122:$AF$122,1))*
      ($E$207-INDEX($S$123:$S$125,MATCH($E$207,$S$123:$S$125,-1)+1))*
      (INDEX($T$122:$AF$122,1,MATCH(H228,$T$122:$AF$122,1)+1)-H228)
  +
    INDEX($T$123:$AF$125,MATCH($E$207,$S$123:$S$125,-1)+1,MATCH(H228,$T$122:$AF$122,1))*
      (INDEX($S$123:$S$125,MATCH($E$207,$S$123:$S$125,-1))-$E$207)*
      (INDEX($T$122:$AF$122,1,MATCH(H228,$T$122:$AF$122,1)+1)-H228)
  +
    INDEX($T$123:$AF$125,MATCH($E$207,$S$123:$S$125,-1),MATCH(H228,$T$122:$AF$122,1)+1)*
      ($E$207-INDEX($S$123:$S$125,MATCH($E$207,$S$123:$S$125,-1)+1))*
      (H228-INDEX($T$122:$AF$122,1,MATCH(H228,$T$122:$AF$122,1)))
  +
    INDEX($T$123:$AF$125,MATCH($E$207,$S$123:$S$125,-1)+1,MATCH(H228,$T$122:$AF$122,1)+1)*
      (INDEX($S$123:$S$125,MATCH($E$207,$S$123:$S$125,-1))-$E$207)*
      (H228-INDEX($T$122:$AF$122,1,MATCH(H228,$T$122:$AF$122,1)))
  )
  /
  (
    (INDEX($S$123:$S$125,MATCH($E$207,$S$123:$S$125,-1))-INDEX($S$123:$S$125,MATCH($E$207,$S$123:$S$125,-1)+1))*
    (INDEX($T$122:$AF$122,1,MATCH(H228,$T$122:$AF$122,1)+1)-INDEX($T$122:$AF$122,1,MATCH(H228,$T$122:$AF$122,1)))
  )
),
0)</f>
        <v>0</v>
      </c>
      <c r="I229" s="238" cm="1">
        <f t="array" ref="I229">IFERROR(
IF(
  OR($E$207&lt;MIN($S$123:$S$125),$E$207&gt;MAX($S$123:$S$125),I228&lt;MIN($T$122:$AF$122),I228&gt;MAX($T$122:$AF$122)),
  0,
  (
    INDEX($T$123:$AF$125,MATCH($E$207,$S$123:$S$125,-1),MATCH(I228,$T$122:$AF$122,1))*
      ($E$207-INDEX($S$123:$S$125,MATCH($E$207,$S$123:$S$125,-1)+1))*
      (INDEX($T$122:$AF$122,1,MATCH(I228,$T$122:$AF$122,1)+1)-I228)
  +
    INDEX($T$123:$AF$125,MATCH($E$207,$S$123:$S$125,-1)+1,MATCH(I228,$T$122:$AF$122,1))*
      (INDEX($S$123:$S$125,MATCH($E$207,$S$123:$S$125,-1))-$E$207)*
      (INDEX($T$122:$AF$122,1,MATCH(I228,$T$122:$AF$122,1)+1)-I228)
  +
    INDEX($T$123:$AF$125,MATCH($E$207,$S$123:$S$125,-1),MATCH(I228,$T$122:$AF$122,1)+1)*
      ($E$207-INDEX($S$123:$S$125,MATCH($E$207,$S$123:$S$125,-1)+1))*
      (I228-INDEX($T$122:$AF$122,1,MATCH(I228,$T$122:$AF$122,1)))
  +
    INDEX($T$123:$AF$125,MATCH($E$207,$S$123:$S$125,-1)+1,MATCH(I228,$T$122:$AF$122,1)+1)*
      (INDEX($S$123:$S$125,MATCH($E$207,$S$123:$S$125,-1))-$E$207)*
      (I228-INDEX($T$122:$AF$122,1,MATCH(I228,$T$122:$AF$122,1)))
  )
  /
  (
    (INDEX($S$123:$S$125,MATCH($E$207,$S$123:$S$125,-1))-INDEX($S$123:$S$125,MATCH($E$207,$S$123:$S$125,-1)+1))*
    (INDEX($T$122:$AF$122,1,MATCH(I228,$T$122:$AF$122,1)+1)-INDEX($T$122:$AF$122,1,MATCH(I228,$T$122:$AF$122,1)))
  )
),
0)</f>
        <v>0</v>
      </c>
      <c r="J229" s="255"/>
      <c r="K229" s="255"/>
      <c r="L229" s="255"/>
      <c r="M229" s="255"/>
      <c r="N229" s="255"/>
      <c r="O229" s="255"/>
      <c r="P229" s="255"/>
      <c r="Q229" s="255"/>
      <c r="R229" s="255"/>
      <c r="S229" s="255"/>
      <c r="T229" s="255"/>
      <c r="U229" s="255"/>
      <c r="V229" s="255"/>
      <c r="W229" s="255"/>
      <c r="X229" s="255"/>
      <c r="Y229" s="255"/>
      <c r="Z229" s="255"/>
      <c r="AA229" s="255"/>
      <c r="AB229" s="255"/>
      <c r="AC229" s="255"/>
      <c r="AD229" s="255"/>
      <c r="AE229" s="255"/>
      <c r="AF229" s="255"/>
      <c r="AG229" s="255"/>
      <c r="AH229" s="255"/>
      <c r="AI229" s="255"/>
      <c r="AJ229" s="255"/>
      <c r="AK229" s="255"/>
      <c r="AL229" s="255"/>
      <c r="AM229" s="255"/>
      <c r="AN229" s="255"/>
      <c r="AO229" s="255"/>
      <c r="AP229" s="255"/>
      <c r="AQ229" s="255"/>
      <c r="AR229" s="255"/>
      <c r="AS229" s="255"/>
      <c r="AT229" s="255"/>
      <c r="AU229" s="255"/>
      <c r="AV229" s="255"/>
      <c r="AW229" s="255"/>
      <c r="AX229" s="255"/>
      <c r="AY229" s="255"/>
      <c r="AZ229" s="255"/>
      <c r="BA229" s="255"/>
      <c r="BB229" s="255"/>
      <c r="BC229" s="255"/>
      <c r="BD229" s="255"/>
      <c r="BE229" s="255"/>
      <c r="BF229" s="255"/>
      <c r="BG229" s="255"/>
      <c r="BH229" s="255"/>
      <c r="BI229" s="255"/>
      <c r="BJ229" s="255"/>
      <c r="BK229" s="255"/>
      <c r="BL229" s="255"/>
      <c r="BM229" s="255"/>
      <c r="BN229" s="255"/>
      <c r="BO229" s="255"/>
      <c r="BP229" s="255"/>
      <c r="BQ229" s="255"/>
      <c r="BR229" s="255"/>
      <c r="BS229" s="255"/>
    </row>
    <row r="230" spans="1:71" x14ac:dyDescent="0.25">
      <c r="A230" s="255"/>
      <c r="B230" s="239" t="s">
        <v>422</v>
      </c>
      <c r="C230" s="238">
        <f>TRUNC(C227*C229,2)</f>
        <v>0</v>
      </c>
      <c r="D230" s="238">
        <f t="shared" ref="D230:I230" si="62">TRUNC(D227*D229,2)</f>
        <v>0</v>
      </c>
      <c r="E230" s="238">
        <f t="shared" si="62"/>
        <v>0</v>
      </c>
      <c r="F230" s="238">
        <f t="shared" si="62"/>
        <v>0</v>
      </c>
      <c r="G230" s="238">
        <f t="shared" si="62"/>
        <v>0</v>
      </c>
      <c r="H230" s="238">
        <f t="shared" si="62"/>
        <v>0</v>
      </c>
      <c r="I230" s="238">
        <f t="shared" si="62"/>
        <v>0</v>
      </c>
      <c r="K230" s="238">
        <f>C230+D230+E230+F230+G230+H230+I230</f>
        <v>0</v>
      </c>
      <c r="L230" s="255"/>
      <c r="M230" s="255"/>
      <c r="N230" s="255"/>
      <c r="O230" s="255"/>
      <c r="P230" s="255"/>
      <c r="Q230" s="255"/>
      <c r="R230" s="255"/>
      <c r="S230" s="255"/>
      <c r="T230" s="255"/>
      <c r="U230" s="255"/>
      <c r="V230" s="255"/>
      <c r="W230" s="255"/>
      <c r="X230" s="255"/>
      <c r="Y230" s="255"/>
      <c r="Z230" s="255"/>
      <c r="AA230" s="255"/>
      <c r="AB230" s="255"/>
      <c r="AC230" s="255"/>
      <c r="AD230" s="255"/>
      <c r="AE230" s="255"/>
      <c r="AF230" s="255"/>
      <c r="AG230" s="255"/>
      <c r="AH230" s="255"/>
      <c r="AI230" s="255"/>
      <c r="AJ230" s="255"/>
      <c r="AK230" s="255"/>
      <c r="AL230" s="255"/>
      <c r="AM230" s="255"/>
      <c r="AN230" s="255"/>
      <c r="AO230" s="255"/>
      <c r="AP230" s="255"/>
      <c r="AQ230" s="255"/>
      <c r="AR230" s="255"/>
      <c r="AS230" s="255"/>
      <c r="AT230" s="255"/>
      <c r="AU230" s="255"/>
      <c r="AV230" s="255"/>
      <c r="AW230" s="255"/>
      <c r="AX230" s="255"/>
      <c r="AY230" s="255"/>
      <c r="AZ230" s="255"/>
      <c r="BA230" s="255"/>
      <c r="BB230" s="255"/>
      <c r="BC230" s="255"/>
      <c r="BD230" s="255"/>
      <c r="BE230" s="255"/>
      <c r="BF230" s="255"/>
      <c r="BG230" s="255"/>
      <c r="BH230" s="255"/>
      <c r="BI230" s="255"/>
      <c r="BJ230" s="255"/>
      <c r="BK230" s="255"/>
      <c r="BL230" s="255"/>
      <c r="BM230" s="255"/>
      <c r="BN230" s="255"/>
      <c r="BO230" s="255"/>
      <c r="BP230" s="255"/>
      <c r="BQ230" s="255"/>
      <c r="BR230" s="255"/>
      <c r="BS230" s="255"/>
    </row>
    <row r="231" spans="1:71" x14ac:dyDescent="0.25">
      <c r="A231" s="255"/>
      <c r="B231" s="239" t="s">
        <v>210</v>
      </c>
      <c r="C231" s="315"/>
      <c r="D231" s="315"/>
      <c r="E231" s="315"/>
      <c r="F231" s="315"/>
      <c r="G231" s="315"/>
      <c r="H231" s="315"/>
      <c r="I231" s="315"/>
      <c r="J231" s="240"/>
      <c r="K231" s="239" t="s">
        <v>418</v>
      </c>
      <c r="L231" s="255"/>
      <c r="M231" s="255"/>
      <c r="N231" s="255"/>
      <c r="O231" s="255"/>
      <c r="P231" s="255"/>
      <c r="Q231" s="255"/>
      <c r="R231" s="255"/>
      <c r="S231" s="255"/>
      <c r="T231" s="255"/>
      <c r="U231" s="255"/>
      <c r="V231" s="255"/>
      <c r="W231" s="255"/>
      <c r="X231" s="255"/>
      <c r="Y231" s="255"/>
      <c r="Z231" s="255"/>
      <c r="AA231" s="255"/>
      <c r="AB231" s="255"/>
      <c r="AC231" s="255"/>
      <c r="AD231" s="255"/>
      <c r="AE231" s="255"/>
      <c r="AF231" s="255"/>
      <c r="AG231" s="255"/>
      <c r="AH231" s="255"/>
      <c r="AI231" s="255"/>
      <c r="AJ231" s="255"/>
      <c r="AK231" s="255"/>
      <c r="AL231" s="255"/>
      <c r="AM231" s="255"/>
      <c r="AN231" s="255"/>
      <c r="AO231" s="255"/>
      <c r="AP231" s="255"/>
      <c r="AQ231" s="255"/>
      <c r="AR231" s="255"/>
      <c r="AS231" s="255"/>
      <c r="AT231" s="255"/>
      <c r="AU231" s="255"/>
      <c r="AV231" s="255"/>
      <c r="AW231" s="255"/>
      <c r="AX231" s="255"/>
      <c r="AY231" s="255"/>
      <c r="AZ231" s="255"/>
      <c r="BA231" s="255"/>
      <c r="BB231" s="255"/>
      <c r="BC231" s="255"/>
      <c r="BD231" s="255"/>
      <c r="BE231" s="255"/>
      <c r="BF231" s="255"/>
      <c r="BG231" s="255"/>
      <c r="BH231" s="255"/>
      <c r="BI231" s="255"/>
      <c r="BJ231" s="255"/>
      <c r="BK231" s="255"/>
      <c r="BL231" s="255"/>
      <c r="BM231" s="255"/>
      <c r="BN231" s="255"/>
      <c r="BO231" s="255"/>
      <c r="BP231" s="255"/>
      <c r="BQ231" s="255"/>
      <c r="BR231" s="255"/>
      <c r="BS231" s="255"/>
    </row>
    <row r="232" spans="1:71" x14ac:dyDescent="0.25">
      <c r="A232" s="255"/>
      <c r="B232" s="239" t="s">
        <v>218</v>
      </c>
      <c r="C232" s="238">
        <f>TRUNC(C227*C231,2)</f>
        <v>0</v>
      </c>
      <c r="D232" s="238">
        <f t="shared" ref="D232:I232" si="63">TRUNC(D227*D231,2)</f>
        <v>0</v>
      </c>
      <c r="E232" s="238">
        <f t="shared" si="63"/>
        <v>0</v>
      </c>
      <c r="F232" s="238">
        <f t="shared" si="63"/>
        <v>0</v>
      </c>
      <c r="G232" s="238">
        <f t="shared" si="63"/>
        <v>0</v>
      </c>
      <c r="H232" s="238">
        <f t="shared" si="63"/>
        <v>0</v>
      </c>
      <c r="I232" s="238">
        <f t="shared" si="63"/>
        <v>0</v>
      </c>
      <c r="K232" s="238">
        <f t="shared" ref="K232" si="64">C232+D232+E232+F232+G232+H232+I232</f>
        <v>0</v>
      </c>
      <c r="L232" s="255"/>
      <c r="M232" s="255"/>
      <c r="N232" s="255"/>
      <c r="O232" s="255"/>
      <c r="P232" s="255"/>
      <c r="Q232" s="255"/>
      <c r="R232" s="255"/>
      <c r="S232" s="255"/>
      <c r="T232" s="255"/>
      <c r="U232" s="255"/>
      <c r="V232" s="255"/>
      <c r="W232" s="255"/>
      <c r="X232" s="255"/>
      <c r="Y232" s="255"/>
      <c r="Z232" s="255"/>
      <c r="AA232" s="255"/>
      <c r="AB232" s="255"/>
      <c r="AC232" s="255"/>
      <c r="AD232" s="255"/>
      <c r="AE232" s="255"/>
      <c r="AF232" s="255"/>
      <c r="AG232" s="255"/>
      <c r="AH232" s="255"/>
      <c r="AI232" s="255"/>
      <c r="AJ232" s="255"/>
      <c r="AK232" s="255"/>
      <c r="AL232" s="255"/>
      <c r="AM232" s="255"/>
      <c r="AN232" s="255"/>
      <c r="AO232" s="255"/>
      <c r="AP232" s="255"/>
      <c r="AQ232" s="255"/>
      <c r="AR232" s="255"/>
      <c r="AS232" s="255"/>
      <c r="AT232" s="255"/>
      <c r="AU232" s="255"/>
      <c r="AV232" s="255"/>
      <c r="AW232" s="255"/>
      <c r="AX232" s="255"/>
      <c r="AY232" s="255"/>
      <c r="AZ232" s="255"/>
      <c r="BA232" s="255"/>
      <c r="BB232" s="255"/>
      <c r="BC232" s="255"/>
      <c r="BD232" s="255"/>
      <c r="BE232" s="255"/>
      <c r="BF232" s="255"/>
      <c r="BG232" s="255"/>
      <c r="BH232" s="255"/>
      <c r="BI232" s="255"/>
      <c r="BJ232" s="255"/>
      <c r="BK232" s="255"/>
      <c r="BL232" s="255"/>
      <c r="BM232" s="255"/>
      <c r="BN232" s="255"/>
      <c r="BO232" s="255"/>
      <c r="BP232" s="255"/>
      <c r="BQ232" s="255"/>
      <c r="BR232" s="255"/>
      <c r="BS232" s="255"/>
    </row>
    <row r="233" spans="1:71" x14ac:dyDescent="0.25">
      <c r="A233" s="255"/>
      <c r="B233" s="255"/>
      <c r="C233" s="255"/>
      <c r="D233" s="255"/>
      <c r="E233" s="255"/>
      <c r="F233" s="255"/>
      <c r="G233" s="255"/>
      <c r="H233" s="255"/>
      <c r="I233" s="255"/>
      <c r="J233" s="255"/>
      <c r="K233" s="255"/>
      <c r="L233" s="255"/>
      <c r="M233" s="255"/>
      <c r="N233" s="255"/>
      <c r="O233" s="255"/>
      <c r="P233" s="255"/>
      <c r="Q233" s="255"/>
      <c r="R233" s="255"/>
      <c r="S233" s="255"/>
      <c r="T233" s="255"/>
      <c r="U233" s="255"/>
      <c r="V233" s="255"/>
      <c r="W233" s="255"/>
      <c r="X233" s="255"/>
      <c r="Y233" s="255"/>
      <c r="Z233" s="255"/>
      <c r="AA233" s="255"/>
      <c r="AB233" s="255"/>
      <c r="AC233" s="255"/>
      <c r="AD233" s="255"/>
      <c r="AE233" s="255"/>
      <c r="AF233" s="255"/>
      <c r="AG233" s="255"/>
      <c r="AH233" s="255"/>
      <c r="AI233" s="255"/>
      <c r="AJ233" s="255"/>
      <c r="AK233" s="255"/>
      <c r="AL233" s="255"/>
      <c r="AM233" s="255"/>
      <c r="AN233" s="255"/>
      <c r="AO233" s="255"/>
      <c r="AP233" s="255"/>
      <c r="AQ233" s="255"/>
      <c r="AR233" s="255"/>
      <c r="AS233" s="255"/>
      <c r="AT233" s="255"/>
      <c r="AU233" s="255"/>
      <c r="AV233" s="255"/>
      <c r="AW233" s="255"/>
      <c r="AX233" s="255"/>
      <c r="AY233" s="255"/>
      <c r="AZ233" s="255"/>
      <c r="BA233" s="255"/>
      <c r="BB233" s="255"/>
      <c r="BC233" s="255"/>
      <c r="BD233" s="255"/>
      <c r="BE233" s="255"/>
      <c r="BF233" s="255"/>
      <c r="BG233" s="255"/>
      <c r="BH233" s="255"/>
      <c r="BI233" s="255"/>
      <c r="BJ233" s="255"/>
      <c r="BK233" s="255"/>
      <c r="BL233" s="255"/>
      <c r="BM233" s="255"/>
      <c r="BN233" s="255"/>
      <c r="BO233" s="255"/>
      <c r="BP233" s="255"/>
      <c r="BQ233" s="255"/>
      <c r="BR233" s="255"/>
      <c r="BS233" s="255"/>
    </row>
    <row r="234" spans="1:71" x14ac:dyDescent="0.25">
      <c r="A234" s="255"/>
      <c r="B234" s="239" t="s">
        <v>424</v>
      </c>
      <c r="C234" s="240">
        <v>1</v>
      </c>
      <c r="D234" s="240">
        <v>2</v>
      </c>
      <c r="E234" s="240">
        <v>3</v>
      </c>
      <c r="F234" s="240">
        <v>4</v>
      </c>
      <c r="G234" s="240">
        <v>5</v>
      </c>
      <c r="H234" s="240">
        <v>6</v>
      </c>
      <c r="I234" s="240">
        <v>7</v>
      </c>
      <c r="J234" s="255"/>
      <c r="K234" s="255"/>
      <c r="L234" s="255"/>
      <c r="M234" s="255"/>
      <c r="N234" s="255"/>
      <c r="O234" s="255"/>
      <c r="P234" s="255"/>
      <c r="Q234" s="255"/>
      <c r="R234" s="255"/>
      <c r="S234" s="255"/>
      <c r="T234" s="255"/>
      <c r="U234" s="255"/>
      <c r="V234" s="255"/>
      <c r="W234" s="255"/>
      <c r="X234" s="255"/>
      <c r="Y234" s="255"/>
      <c r="Z234" s="255"/>
      <c r="AA234" s="255"/>
      <c r="AB234" s="255"/>
      <c r="AC234" s="255"/>
      <c r="AD234" s="255"/>
      <c r="AE234" s="255"/>
      <c r="AF234" s="255"/>
      <c r="AG234" s="255"/>
      <c r="AH234" s="255"/>
      <c r="AI234" s="255"/>
      <c r="AJ234" s="255"/>
      <c r="AK234" s="255"/>
      <c r="AL234" s="255"/>
      <c r="AM234" s="255"/>
      <c r="AN234" s="255"/>
      <c r="AO234" s="255"/>
      <c r="AP234" s="255"/>
      <c r="AQ234" s="255"/>
      <c r="AR234" s="255"/>
      <c r="AS234" s="255"/>
      <c r="AT234" s="255"/>
      <c r="AU234" s="255"/>
      <c r="AV234" s="255"/>
      <c r="AW234" s="255"/>
      <c r="AX234" s="255"/>
      <c r="AY234" s="255"/>
      <c r="AZ234" s="255"/>
      <c r="BA234" s="255"/>
      <c r="BB234" s="255"/>
      <c r="BC234" s="255"/>
      <c r="BD234" s="255"/>
      <c r="BE234" s="255"/>
      <c r="BF234" s="255"/>
      <c r="BG234" s="255"/>
      <c r="BH234" s="255"/>
      <c r="BI234" s="255"/>
      <c r="BJ234" s="255"/>
      <c r="BK234" s="255"/>
      <c r="BL234" s="255"/>
      <c r="BM234" s="255"/>
      <c r="BN234" s="255"/>
      <c r="BO234" s="255"/>
      <c r="BP234" s="255"/>
      <c r="BQ234" s="255"/>
      <c r="BR234" s="255"/>
      <c r="BS234" s="255"/>
    </row>
    <row r="235" spans="1:71" x14ac:dyDescent="0.25">
      <c r="A235" s="255"/>
      <c r="B235" s="239" t="s">
        <v>420</v>
      </c>
      <c r="C235" s="335">
        <v>0</v>
      </c>
      <c r="D235" s="335">
        <v>0</v>
      </c>
      <c r="E235" s="335">
        <v>0</v>
      </c>
      <c r="F235" s="335">
        <v>0</v>
      </c>
      <c r="G235" s="335">
        <v>0</v>
      </c>
      <c r="H235" s="335">
        <v>0</v>
      </c>
      <c r="I235" s="335">
        <v>0</v>
      </c>
      <c r="J235" s="255"/>
      <c r="K235" s="255"/>
      <c r="L235" s="255"/>
      <c r="M235" s="255"/>
      <c r="N235" s="255"/>
      <c r="O235" s="255"/>
      <c r="P235" s="255"/>
      <c r="Q235" s="255"/>
      <c r="R235" s="255"/>
      <c r="S235" s="255"/>
      <c r="T235" s="255"/>
      <c r="U235" s="255"/>
      <c r="V235" s="255"/>
      <c r="W235" s="255"/>
      <c r="X235" s="255"/>
      <c r="Y235" s="255"/>
      <c r="Z235" s="255"/>
      <c r="AA235" s="255"/>
      <c r="AB235" s="255"/>
      <c r="AC235" s="255"/>
      <c r="AD235" s="255"/>
      <c r="AE235" s="255"/>
      <c r="AF235" s="255"/>
      <c r="AG235" s="255"/>
      <c r="AH235" s="255"/>
      <c r="AI235" s="255"/>
      <c r="AJ235" s="255"/>
      <c r="AK235" s="255"/>
      <c r="AL235" s="255"/>
      <c r="AM235" s="255"/>
      <c r="AN235" s="255"/>
      <c r="AO235" s="255"/>
      <c r="AP235" s="255"/>
      <c r="AQ235" s="255"/>
      <c r="AR235" s="255"/>
      <c r="AS235" s="255"/>
      <c r="AT235" s="255"/>
      <c r="AU235" s="255"/>
      <c r="AV235" s="255"/>
      <c r="AW235" s="255"/>
      <c r="AX235" s="255"/>
      <c r="AY235" s="255"/>
      <c r="AZ235" s="255"/>
      <c r="BA235" s="255"/>
      <c r="BB235" s="255"/>
      <c r="BC235" s="255"/>
      <c r="BD235" s="255"/>
      <c r="BE235" s="255"/>
      <c r="BF235" s="255"/>
      <c r="BG235" s="255"/>
      <c r="BH235" s="255"/>
      <c r="BI235" s="255"/>
      <c r="BJ235" s="255"/>
      <c r="BK235" s="255"/>
      <c r="BL235" s="255"/>
      <c r="BM235" s="255"/>
      <c r="BN235" s="255"/>
      <c r="BO235" s="255"/>
      <c r="BP235" s="255"/>
      <c r="BQ235" s="255"/>
      <c r="BR235" s="255"/>
      <c r="BS235" s="255"/>
    </row>
    <row r="236" spans="1:71" x14ac:dyDescent="0.25">
      <c r="A236" s="255"/>
      <c r="B236" s="239" t="s">
        <v>194</v>
      </c>
      <c r="C236" s="272">
        <v>1.5</v>
      </c>
      <c r="D236" s="272">
        <v>1.5</v>
      </c>
      <c r="E236" s="272">
        <v>1.5</v>
      </c>
      <c r="F236" s="272">
        <v>1.5</v>
      </c>
      <c r="G236" s="272">
        <v>1.5</v>
      </c>
      <c r="H236" s="272">
        <v>1.5</v>
      </c>
      <c r="I236" s="272">
        <v>1.5</v>
      </c>
      <c r="J236" s="255"/>
      <c r="K236" s="255"/>
      <c r="L236" s="255"/>
      <c r="M236" s="255"/>
      <c r="N236" s="255"/>
      <c r="O236" s="255"/>
      <c r="P236" s="255"/>
      <c r="Q236" s="255"/>
      <c r="R236" s="255"/>
      <c r="S236" s="255"/>
      <c r="T236" s="255"/>
      <c r="U236" s="255"/>
      <c r="V236" s="255"/>
      <c r="W236" s="255"/>
      <c r="X236" s="255"/>
      <c r="Y236" s="255"/>
      <c r="Z236" s="255"/>
      <c r="AA236" s="255"/>
      <c r="AB236" s="255"/>
      <c r="AC236" s="255"/>
      <c r="AD236" s="255"/>
      <c r="AE236" s="255"/>
      <c r="AF236" s="255"/>
      <c r="AG236" s="255"/>
      <c r="AH236" s="255"/>
      <c r="AI236" s="255"/>
      <c r="AJ236" s="255"/>
      <c r="AK236" s="255"/>
      <c r="AL236" s="255"/>
      <c r="AM236" s="255"/>
      <c r="AN236" s="255"/>
      <c r="AO236" s="255"/>
      <c r="AP236" s="255"/>
      <c r="AQ236" s="255"/>
      <c r="AR236" s="255"/>
      <c r="AS236" s="255"/>
      <c r="AT236" s="255"/>
      <c r="AU236" s="255"/>
      <c r="AV236" s="255"/>
      <c r="AW236" s="255"/>
      <c r="AX236" s="255"/>
      <c r="AY236" s="255"/>
      <c r="AZ236" s="255"/>
      <c r="BA236" s="255"/>
      <c r="BB236" s="255"/>
      <c r="BC236" s="255"/>
      <c r="BD236" s="255"/>
      <c r="BE236" s="255"/>
      <c r="BF236" s="255"/>
      <c r="BG236" s="255"/>
      <c r="BH236" s="255"/>
      <c r="BI236" s="255"/>
      <c r="BJ236" s="255"/>
      <c r="BK236" s="255"/>
      <c r="BL236" s="255"/>
      <c r="BM236" s="255"/>
      <c r="BN236" s="255"/>
      <c r="BO236" s="255"/>
      <c r="BP236" s="255"/>
      <c r="BQ236" s="255"/>
      <c r="BR236" s="255"/>
      <c r="BS236" s="255"/>
    </row>
    <row r="237" spans="1:71" x14ac:dyDescent="0.25">
      <c r="A237" s="255"/>
      <c r="B237" s="239" t="s">
        <v>209</v>
      </c>
      <c r="C237" s="238">
        <f>TRUNC(C235/C236,2)</f>
        <v>0</v>
      </c>
      <c r="D237" s="238">
        <f t="shared" ref="D237" si="65">TRUNC(D235/D236,2)</f>
        <v>0</v>
      </c>
      <c r="E237" s="238">
        <f t="shared" ref="E237" si="66">TRUNC(E235/E236,2)</f>
        <v>0</v>
      </c>
      <c r="F237" s="238">
        <f t="shared" ref="F237" si="67">TRUNC(F235/F236,2)</f>
        <v>0</v>
      </c>
      <c r="G237" s="238">
        <f t="shared" ref="G237" si="68">TRUNC(G235/G236,2)</f>
        <v>0</v>
      </c>
      <c r="H237" s="238">
        <f t="shared" ref="H237" si="69">TRUNC(H235/H236,2)</f>
        <v>0</v>
      </c>
      <c r="I237" s="238">
        <f t="shared" ref="I237" si="70">TRUNC(I235/I236,2)</f>
        <v>0</v>
      </c>
      <c r="J237" s="255"/>
      <c r="K237" s="255"/>
      <c r="L237" s="255"/>
      <c r="M237" s="255"/>
      <c r="N237" s="255"/>
      <c r="O237" s="255"/>
      <c r="P237" s="255"/>
      <c r="Q237" s="255"/>
      <c r="R237" s="255"/>
      <c r="S237" s="255"/>
      <c r="T237" s="255"/>
      <c r="U237" s="255"/>
      <c r="V237" s="255"/>
      <c r="W237" s="255"/>
      <c r="X237" s="255"/>
      <c r="Y237" s="255"/>
      <c r="Z237" s="255"/>
      <c r="AA237" s="255"/>
      <c r="AB237" s="255"/>
      <c r="AC237" s="255"/>
      <c r="AD237" s="255"/>
      <c r="AE237" s="255"/>
      <c r="AF237" s="255"/>
      <c r="AG237" s="255"/>
      <c r="AH237" s="255"/>
      <c r="AI237" s="255"/>
      <c r="AJ237" s="255"/>
      <c r="AK237" s="255"/>
      <c r="AL237" s="255"/>
      <c r="AM237" s="255"/>
      <c r="AN237" s="255"/>
      <c r="AO237" s="255"/>
      <c r="AP237" s="255"/>
      <c r="AQ237" s="255"/>
      <c r="AR237" s="255"/>
      <c r="AS237" s="255"/>
      <c r="AT237" s="255"/>
      <c r="AU237" s="255"/>
      <c r="AV237" s="255"/>
      <c r="AW237" s="255"/>
      <c r="AX237" s="255"/>
      <c r="AY237" s="255"/>
      <c r="AZ237" s="255"/>
      <c r="BA237" s="255"/>
      <c r="BB237" s="255"/>
      <c r="BC237" s="255"/>
      <c r="BD237" s="255"/>
      <c r="BE237" s="255"/>
      <c r="BF237" s="255"/>
      <c r="BG237" s="255"/>
      <c r="BH237" s="255"/>
      <c r="BI237" s="255"/>
      <c r="BJ237" s="255"/>
      <c r="BK237" s="255"/>
      <c r="BL237" s="255"/>
      <c r="BM237" s="255"/>
      <c r="BN237" s="255"/>
      <c r="BO237" s="255"/>
      <c r="BP237" s="255"/>
      <c r="BQ237" s="255"/>
      <c r="BR237" s="255"/>
      <c r="BS237" s="255"/>
    </row>
    <row r="238" spans="1:71" x14ac:dyDescent="0.25">
      <c r="A238" s="255"/>
      <c r="B238" s="237" t="s">
        <v>211</v>
      </c>
      <c r="C238" s="315"/>
      <c r="D238" s="315"/>
      <c r="E238" s="315"/>
      <c r="F238" s="315"/>
      <c r="G238" s="315"/>
      <c r="H238" s="315"/>
      <c r="I238" s="315"/>
      <c r="J238" s="255"/>
      <c r="K238" s="255"/>
      <c r="L238" s="255"/>
      <c r="M238" s="255"/>
      <c r="N238" s="255"/>
      <c r="O238" s="255"/>
      <c r="P238" s="255"/>
      <c r="Q238" s="255"/>
      <c r="R238" s="255"/>
      <c r="S238" s="255"/>
      <c r="T238" s="255"/>
      <c r="U238" s="255"/>
      <c r="V238" s="255"/>
      <c r="W238" s="255"/>
      <c r="X238" s="255"/>
      <c r="Y238" s="255"/>
      <c r="Z238" s="255"/>
      <c r="AA238" s="255"/>
      <c r="AB238" s="255"/>
      <c r="AC238" s="255"/>
      <c r="AD238" s="255"/>
      <c r="AE238" s="255"/>
      <c r="AF238" s="255"/>
      <c r="AG238" s="255"/>
      <c r="AH238" s="255"/>
      <c r="AI238" s="255"/>
      <c r="AJ238" s="255"/>
      <c r="AK238" s="255"/>
      <c r="AL238" s="255"/>
      <c r="AM238" s="255"/>
      <c r="AN238" s="255"/>
      <c r="AO238" s="255"/>
      <c r="AP238" s="255"/>
      <c r="AQ238" s="255"/>
      <c r="AR238" s="255"/>
      <c r="AS238" s="255"/>
      <c r="AT238" s="255"/>
      <c r="AU238" s="255"/>
      <c r="AV238" s="255"/>
      <c r="AW238" s="255"/>
      <c r="AX238" s="255"/>
      <c r="AY238" s="255"/>
      <c r="AZ238" s="255"/>
      <c r="BA238" s="255"/>
      <c r="BB238" s="255"/>
      <c r="BC238" s="255"/>
      <c r="BD238" s="255"/>
      <c r="BE238" s="255"/>
      <c r="BF238" s="255"/>
      <c r="BG238" s="255"/>
      <c r="BH238" s="255"/>
      <c r="BI238" s="255"/>
      <c r="BJ238" s="255"/>
      <c r="BK238" s="255"/>
      <c r="BL238" s="255"/>
      <c r="BM238" s="255"/>
      <c r="BN238" s="255"/>
      <c r="BO238" s="255"/>
      <c r="BP238" s="255"/>
      <c r="BQ238" s="255"/>
      <c r="BR238" s="255"/>
      <c r="BS238" s="255"/>
    </row>
    <row r="239" spans="1:71" x14ac:dyDescent="0.25">
      <c r="A239" s="255"/>
      <c r="B239" s="239" t="s">
        <v>421</v>
      </c>
      <c r="C239" s="238" cm="1">
        <f t="array" ref="C239">IFERROR(
IF(
  OR($E$207&lt;MIN($S$123:$S$125),$E$207&gt;MAX($S$123:$S$125),C238&lt;MIN($T$122:$AF$122),C238&gt;MAX($T$122:$AF$122)),
  0,
  (
    INDEX($T$123:$AF$125,MATCH($E$207,$S$123:$S$125,-1),MATCH(C238,$T$122:$AF$122,1))*
      ($E$207-INDEX($S$123:$S$125,MATCH($E$207,$S$123:$S$125,-1)+1))*
      (INDEX($T$122:$AF$122,1,MATCH(C238,$T$122:$AF$122,1)+1)-C238)
  +
    INDEX($T$123:$AF$125,MATCH($E$207,$S$123:$S$125,-1)+1,MATCH(C238,$T$122:$AF$122,1))*
      (INDEX($S$123:$S$125,MATCH($E$207,$S$123:$S$125,-1))-$E$207)*
      (INDEX($T$122:$AF$122,1,MATCH(C238,$T$122:$AF$122,1)+1)-C238)
  +
    INDEX($T$123:$AF$125,MATCH($E$207,$S$123:$S$125,-1),MATCH(C238,$T$122:$AF$122,1)+1)*
      ($E$207-INDEX($S$123:$S$125,MATCH($E$207,$S$123:$S$125,-1)+1))*
      (C238-INDEX($T$122:$AF$122,1,MATCH(C238,$T$122:$AF$122,1)))
  +
    INDEX($T$123:$AF$125,MATCH($E$207,$S$123:$S$125,-1)+1,MATCH(C238,$T$122:$AF$122,1)+1)*
      (INDEX($S$123:$S$125,MATCH($E$207,$S$123:$S$125,-1))-$E$207)*
      (C238-INDEX($T$122:$AF$122,1,MATCH(C238,$T$122:$AF$122,1)))
  )
  /
  (
    (INDEX($S$123:$S$125,MATCH($E$207,$S$123:$S$125,-1))-INDEX($S$123:$S$125,MATCH($E$207,$S$123:$S$125,-1)+1))*
    (INDEX($T$122:$AF$122,1,MATCH(C238,$T$122:$AF$122,1)+1)-INDEX($T$122:$AF$122,1,MATCH(C238,$T$122:$AF$122,1)))
  )
),
0)</f>
        <v>0</v>
      </c>
      <c r="D239" s="238" cm="1">
        <f t="array" ref="D239">IFERROR(
IF(
  OR($E$207&lt;MIN($S$123:$S$125),$E$207&gt;MAX($S$123:$S$125),D238&lt;MIN($T$122:$AF$122),D238&gt;MAX($T$122:$AF$122)),
  0,
  (
    INDEX($T$123:$AF$125,MATCH($E$207,$S$123:$S$125,-1),MATCH(D238,$T$122:$AF$122,1))*
      ($E$207-INDEX($S$123:$S$125,MATCH($E$207,$S$123:$S$125,-1)+1))*
      (INDEX($T$122:$AF$122,1,MATCH(D238,$T$122:$AF$122,1)+1)-D238)
  +
    INDEX($T$123:$AF$125,MATCH($E$207,$S$123:$S$125,-1)+1,MATCH(D238,$T$122:$AF$122,1))*
      (INDEX($S$123:$S$125,MATCH($E$207,$S$123:$S$125,-1))-$E$207)*
      (INDEX($T$122:$AF$122,1,MATCH(D238,$T$122:$AF$122,1)+1)-D238)
  +
    INDEX($T$123:$AF$125,MATCH($E$207,$S$123:$S$125,-1),MATCH(D238,$T$122:$AF$122,1)+1)*
      ($E$207-INDEX($S$123:$S$125,MATCH($E$207,$S$123:$S$125,-1)+1))*
      (D238-INDEX($T$122:$AF$122,1,MATCH(D238,$T$122:$AF$122,1)))
  +
    INDEX($T$123:$AF$125,MATCH($E$207,$S$123:$S$125,-1)+1,MATCH(D238,$T$122:$AF$122,1)+1)*
      (INDEX($S$123:$S$125,MATCH($E$207,$S$123:$S$125,-1))-$E$207)*
      (D238-INDEX($T$122:$AF$122,1,MATCH(D238,$T$122:$AF$122,1)))
  )
  /
  (
    (INDEX($S$123:$S$125,MATCH($E$207,$S$123:$S$125,-1))-INDEX($S$123:$S$125,MATCH($E$207,$S$123:$S$125,-1)+1))*
    (INDEX($T$122:$AF$122,1,MATCH(D238,$T$122:$AF$122,1)+1)-INDEX($T$122:$AF$122,1,MATCH(D238,$T$122:$AF$122,1)))
  )
),
0)</f>
        <v>0</v>
      </c>
      <c r="E239" s="238" cm="1">
        <f t="array" ref="E239">IFERROR(
IF(
  OR($E$207&lt;MIN($S$123:$S$125),$E$207&gt;MAX($S$123:$S$125),E238&lt;MIN($T$122:$AF$122),E238&gt;MAX($T$122:$AF$122)),
  0,
  (
    INDEX($T$123:$AF$125,MATCH($E$207,$S$123:$S$125,-1),MATCH(E238,$T$122:$AF$122,1))*
      ($E$207-INDEX($S$123:$S$125,MATCH($E$207,$S$123:$S$125,-1)+1))*
      (INDEX($T$122:$AF$122,1,MATCH(E238,$T$122:$AF$122,1)+1)-E238)
  +
    INDEX($T$123:$AF$125,MATCH($E$207,$S$123:$S$125,-1)+1,MATCH(E238,$T$122:$AF$122,1))*
      (INDEX($S$123:$S$125,MATCH($E$207,$S$123:$S$125,-1))-$E$207)*
      (INDEX($T$122:$AF$122,1,MATCH(E238,$T$122:$AF$122,1)+1)-E238)
  +
    INDEX($T$123:$AF$125,MATCH($E$207,$S$123:$S$125,-1),MATCH(E238,$T$122:$AF$122,1)+1)*
      ($E$207-INDEX($S$123:$S$125,MATCH($E$207,$S$123:$S$125,-1)+1))*
      (E238-INDEX($T$122:$AF$122,1,MATCH(E238,$T$122:$AF$122,1)))
  +
    INDEX($T$123:$AF$125,MATCH($E$207,$S$123:$S$125,-1)+1,MATCH(E238,$T$122:$AF$122,1)+1)*
      (INDEX($S$123:$S$125,MATCH($E$207,$S$123:$S$125,-1))-$E$207)*
      (E238-INDEX($T$122:$AF$122,1,MATCH(E238,$T$122:$AF$122,1)))
  )
  /
  (
    (INDEX($S$123:$S$125,MATCH($E$207,$S$123:$S$125,-1))-INDEX($S$123:$S$125,MATCH($E$207,$S$123:$S$125,-1)+1))*
    (INDEX($T$122:$AF$122,1,MATCH(E238,$T$122:$AF$122,1)+1)-INDEX($T$122:$AF$122,1,MATCH(E238,$T$122:$AF$122,1)))
  )
),
0)</f>
        <v>0</v>
      </c>
      <c r="F239" s="238" cm="1">
        <f t="array" ref="F239">IFERROR(
IF(
  OR($E$207&lt;MIN($S$123:$S$125),$E$207&gt;MAX($S$123:$S$125),F238&lt;MIN($T$122:$AF$122),F238&gt;MAX($T$122:$AF$122)),
  0,
  (
    INDEX($T$123:$AF$125,MATCH($E$207,$S$123:$S$125,-1),MATCH(F238,$T$122:$AF$122,1))*
      ($E$207-INDEX($S$123:$S$125,MATCH($E$207,$S$123:$S$125,-1)+1))*
      (INDEX($T$122:$AF$122,1,MATCH(F238,$T$122:$AF$122,1)+1)-F238)
  +
    INDEX($T$123:$AF$125,MATCH($E$207,$S$123:$S$125,-1)+1,MATCH(F238,$T$122:$AF$122,1))*
      (INDEX($S$123:$S$125,MATCH($E$207,$S$123:$S$125,-1))-$E$207)*
      (INDEX($T$122:$AF$122,1,MATCH(F238,$T$122:$AF$122,1)+1)-F238)
  +
    INDEX($T$123:$AF$125,MATCH($E$207,$S$123:$S$125,-1),MATCH(F238,$T$122:$AF$122,1)+1)*
      ($E$207-INDEX($S$123:$S$125,MATCH($E$207,$S$123:$S$125,-1)+1))*
      (F238-INDEX($T$122:$AF$122,1,MATCH(F238,$T$122:$AF$122,1)))
  +
    INDEX($T$123:$AF$125,MATCH($E$207,$S$123:$S$125,-1)+1,MATCH(F238,$T$122:$AF$122,1)+1)*
      (INDEX($S$123:$S$125,MATCH($E$207,$S$123:$S$125,-1))-$E$207)*
      (F238-INDEX($T$122:$AF$122,1,MATCH(F238,$T$122:$AF$122,1)))
  )
  /
  (
    (INDEX($S$123:$S$125,MATCH($E$207,$S$123:$S$125,-1))-INDEX($S$123:$S$125,MATCH($E$207,$S$123:$S$125,-1)+1))*
    (INDEX($T$122:$AF$122,1,MATCH(F238,$T$122:$AF$122,1)+1)-INDEX($T$122:$AF$122,1,MATCH(F238,$T$122:$AF$122,1)))
  )
),
0)</f>
        <v>0</v>
      </c>
      <c r="G239" s="238" cm="1">
        <f t="array" ref="G239">IFERROR(
IF(
  OR($E$207&lt;MIN($S$123:$S$125),$E$207&gt;MAX($S$123:$S$125),G238&lt;MIN($T$122:$AF$122),G238&gt;MAX($T$122:$AF$122)),
  0,
  (
    INDEX($T$123:$AF$125,MATCH($E$207,$S$123:$S$125,-1),MATCH(G238,$T$122:$AF$122,1))*
      ($E$207-INDEX($S$123:$S$125,MATCH($E$207,$S$123:$S$125,-1)+1))*
      (INDEX($T$122:$AF$122,1,MATCH(G238,$T$122:$AF$122,1)+1)-G238)
  +
    INDEX($T$123:$AF$125,MATCH($E$207,$S$123:$S$125,-1)+1,MATCH(G238,$T$122:$AF$122,1))*
      (INDEX($S$123:$S$125,MATCH($E$207,$S$123:$S$125,-1))-$E$207)*
      (INDEX($T$122:$AF$122,1,MATCH(G238,$T$122:$AF$122,1)+1)-G238)
  +
    INDEX($T$123:$AF$125,MATCH($E$207,$S$123:$S$125,-1),MATCH(G238,$T$122:$AF$122,1)+1)*
      ($E$207-INDEX($S$123:$S$125,MATCH($E$207,$S$123:$S$125,-1)+1))*
      (G238-INDEX($T$122:$AF$122,1,MATCH(G238,$T$122:$AF$122,1)))
  +
    INDEX($T$123:$AF$125,MATCH($E$207,$S$123:$S$125,-1)+1,MATCH(G238,$T$122:$AF$122,1)+1)*
      (INDEX($S$123:$S$125,MATCH($E$207,$S$123:$S$125,-1))-$E$207)*
      (G238-INDEX($T$122:$AF$122,1,MATCH(G238,$T$122:$AF$122,1)))
  )
  /
  (
    (INDEX($S$123:$S$125,MATCH($E$207,$S$123:$S$125,-1))-INDEX($S$123:$S$125,MATCH($E$207,$S$123:$S$125,-1)+1))*
    (INDEX($T$122:$AF$122,1,MATCH(G238,$T$122:$AF$122,1)+1)-INDEX($T$122:$AF$122,1,MATCH(G238,$T$122:$AF$122,1)))
  )
),
0)</f>
        <v>0</v>
      </c>
      <c r="H239" s="238" cm="1">
        <f t="array" ref="H239">IFERROR(
IF(
  OR($E$207&lt;MIN($S$123:$S$125),$E$207&gt;MAX($S$123:$S$125),H238&lt;MIN($T$122:$AF$122),H238&gt;MAX($T$122:$AF$122)),
  0,
  (
    INDEX($T$123:$AF$125,MATCH($E$207,$S$123:$S$125,-1),MATCH(H238,$T$122:$AF$122,1))*
      ($E$207-INDEX($S$123:$S$125,MATCH($E$207,$S$123:$S$125,-1)+1))*
      (INDEX($T$122:$AF$122,1,MATCH(H238,$T$122:$AF$122,1)+1)-H238)
  +
    INDEX($T$123:$AF$125,MATCH($E$207,$S$123:$S$125,-1)+1,MATCH(H238,$T$122:$AF$122,1))*
      (INDEX($S$123:$S$125,MATCH($E$207,$S$123:$S$125,-1))-$E$207)*
      (INDEX($T$122:$AF$122,1,MATCH(H238,$T$122:$AF$122,1)+1)-H238)
  +
    INDEX($T$123:$AF$125,MATCH($E$207,$S$123:$S$125,-1),MATCH(H238,$T$122:$AF$122,1)+1)*
      ($E$207-INDEX($S$123:$S$125,MATCH($E$207,$S$123:$S$125,-1)+1))*
      (H238-INDEX($T$122:$AF$122,1,MATCH(H238,$T$122:$AF$122,1)))
  +
    INDEX($T$123:$AF$125,MATCH($E$207,$S$123:$S$125,-1)+1,MATCH(H238,$T$122:$AF$122,1)+1)*
      (INDEX($S$123:$S$125,MATCH($E$207,$S$123:$S$125,-1))-$E$207)*
      (H238-INDEX($T$122:$AF$122,1,MATCH(H238,$T$122:$AF$122,1)))
  )
  /
  (
    (INDEX($S$123:$S$125,MATCH($E$207,$S$123:$S$125,-1))-INDEX($S$123:$S$125,MATCH($E$207,$S$123:$S$125,-1)+1))*
    (INDEX($T$122:$AF$122,1,MATCH(H238,$T$122:$AF$122,1)+1)-INDEX($T$122:$AF$122,1,MATCH(H238,$T$122:$AF$122,1)))
  )
),
0)</f>
        <v>0</v>
      </c>
      <c r="I239" s="238" cm="1">
        <f t="array" ref="I239">IFERROR(
IF(
  OR($E$207&lt;MIN($S$123:$S$125),$E$207&gt;MAX($S$123:$S$125),I238&lt;MIN($T$122:$AF$122),I238&gt;MAX($T$122:$AF$122)),
  0,
  (
    INDEX($T$123:$AF$125,MATCH($E$207,$S$123:$S$125,-1),MATCH(I238,$T$122:$AF$122,1))*
      ($E$207-INDEX($S$123:$S$125,MATCH($E$207,$S$123:$S$125,-1)+1))*
      (INDEX($T$122:$AF$122,1,MATCH(I238,$T$122:$AF$122,1)+1)-I238)
  +
    INDEX($T$123:$AF$125,MATCH($E$207,$S$123:$S$125,-1)+1,MATCH(I238,$T$122:$AF$122,1))*
      (INDEX($S$123:$S$125,MATCH($E$207,$S$123:$S$125,-1))-$E$207)*
      (INDEX($T$122:$AF$122,1,MATCH(I238,$T$122:$AF$122,1)+1)-I238)
  +
    INDEX($T$123:$AF$125,MATCH($E$207,$S$123:$S$125,-1),MATCH(I238,$T$122:$AF$122,1)+1)*
      ($E$207-INDEX($S$123:$S$125,MATCH($E$207,$S$123:$S$125,-1)+1))*
      (I238-INDEX($T$122:$AF$122,1,MATCH(I238,$T$122:$AF$122,1)))
  +
    INDEX($T$123:$AF$125,MATCH($E$207,$S$123:$S$125,-1)+1,MATCH(I238,$T$122:$AF$122,1)+1)*
      (INDEX($S$123:$S$125,MATCH($E$207,$S$123:$S$125,-1))-$E$207)*
      (I238-INDEX($T$122:$AF$122,1,MATCH(I238,$T$122:$AF$122,1)))
  )
  /
  (
    (INDEX($S$123:$S$125,MATCH($E$207,$S$123:$S$125,-1))-INDEX($S$123:$S$125,MATCH($E$207,$S$123:$S$125,-1)+1))*
    (INDEX($T$122:$AF$122,1,MATCH(I238,$T$122:$AF$122,1)+1)-INDEX($T$122:$AF$122,1,MATCH(I238,$T$122:$AF$122,1)))
  )
),
0)</f>
        <v>0</v>
      </c>
      <c r="J239" s="255"/>
      <c r="K239" s="255"/>
      <c r="L239" s="255"/>
      <c r="M239" s="255"/>
      <c r="N239" s="255"/>
      <c r="O239" s="255"/>
      <c r="P239" s="255"/>
      <c r="Q239" s="255"/>
      <c r="R239" s="255"/>
      <c r="S239" s="255"/>
      <c r="T239" s="255"/>
      <c r="U239" s="255"/>
      <c r="V239" s="255"/>
      <c r="W239" s="255"/>
      <c r="X239" s="255"/>
      <c r="Y239" s="255"/>
      <c r="Z239" s="255"/>
      <c r="AA239" s="255"/>
      <c r="AB239" s="255"/>
      <c r="AC239" s="255"/>
      <c r="AD239" s="255"/>
      <c r="AE239" s="255"/>
      <c r="AF239" s="255"/>
      <c r="AG239" s="255"/>
      <c r="AH239" s="255"/>
      <c r="AI239" s="255"/>
      <c r="AJ239" s="255"/>
      <c r="AK239" s="255"/>
      <c r="AL239" s="255"/>
      <c r="AM239" s="255"/>
      <c r="AN239" s="255"/>
      <c r="AO239" s="255"/>
      <c r="AP239" s="255"/>
      <c r="AQ239" s="255"/>
      <c r="AR239" s="255"/>
      <c r="AS239" s="255"/>
      <c r="AT239" s="255"/>
      <c r="AU239" s="255"/>
      <c r="AV239" s="255"/>
      <c r="AW239" s="255"/>
      <c r="AX239" s="255"/>
      <c r="AY239" s="255"/>
      <c r="AZ239" s="255"/>
      <c r="BA239" s="255"/>
      <c r="BB239" s="255"/>
      <c r="BC239" s="255"/>
      <c r="BD239" s="255"/>
      <c r="BE239" s="255"/>
      <c r="BF239" s="255"/>
      <c r="BG239" s="255"/>
      <c r="BH239" s="255"/>
      <c r="BI239" s="255"/>
      <c r="BJ239" s="255"/>
      <c r="BK239" s="255"/>
      <c r="BL239" s="255"/>
      <c r="BM239" s="255"/>
      <c r="BN239" s="255"/>
      <c r="BO239" s="255"/>
      <c r="BP239" s="255"/>
      <c r="BQ239" s="255"/>
      <c r="BR239" s="255"/>
      <c r="BS239" s="255"/>
    </row>
    <row r="240" spans="1:71" x14ac:dyDescent="0.25">
      <c r="A240" s="255"/>
      <c r="B240" s="239" t="s">
        <v>422</v>
      </c>
      <c r="C240" s="238">
        <f>TRUNC(C237*C239,2)</f>
        <v>0</v>
      </c>
      <c r="D240" s="238">
        <f t="shared" ref="D240" si="71">TRUNC(D237*D239,2)</f>
        <v>0</v>
      </c>
      <c r="E240" s="238">
        <f t="shared" ref="E240" si="72">TRUNC(E237*E239,2)</f>
        <v>0</v>
      </c>
      <c r="F240" s="238">
        <f t="shared" ref="F240" si="73">TRUNC(F237*F239,2)</f>
        <v>0</v>
      </c>
      <c r="G240" s="238">
        <f t="shared" ref="G240" si="74">TRUNC(G237*G239,2)</f>
        <v>0</v>
      </c>
      <c r="H240" s="238">
        <f t="shared" ref="H240" si="75">TRUNC(H237*H239,2)</f>
        <v>0</v>
      </c>
      <c r="I240" s="238">
        <f t="shared" ref="I240" si="76">TRUNC(I237*I239,2)</f>
        <v>0</v>
      </c>
      <c r="K240" s="238">
        <f>C240+D240+E240+F240+G240+H240+I240</f>
        <v>0</v>
      </c>
      <c r="L240" s="255"/>
      <c r="M240" s="255"/>
      <c r="N240" s="255"/>
      <c r="O240" s="255"/>
      <c r="P240" s="255"/>
      <c r="Q240" s="255"/>
      <c r="R240" s="255"/>
      <c r="S240" s="255"/>
      <c r="T240" s="255"/>
      <c r="U240" s="255"/>
      <c r="V240" s="255"/>
      <c r="W240" s="255"/>
      <c r="X240" s="255"/>
      <c r="Y240" s="255"/>
      <c r="Z240" s="255"/>
      <c r="AA240" s="255"/>
      <c r="AB240" s="255"/>
      <c r="AC240" s="255"/>
      <c r="AD240" s="255"/>
      <c r="AE240" s="255"/>
      <c r="AF240" s="255"/>
      <c r="AG240" s="255"/>
      <c r="AH240" s="255"/>
      <c r="AI240" s="255"/>
      <c r="AJ240" s="255"/>
      <c r="AK240" s="255"/>
      <c r="AL240" s="255"/>
      <c r="AM240" s="255"/>
      <c r="AN240" s="255"/>
      <c r="AO240" s="255"/>
      <c r="AP240" s="255"/>
      <c r="AQ240" s="255"/>
      <c r="AR240" s="255"/>
      <c r="AS240" s="255"/>
      <c r="AT240" s="255"/>
      <c r="AU240" s="255"/>
      <c r="AV240" s="255"/>
      <c r="AW240" s="255"/>
      <c r="AX240" s="255"/>
      <c r="AY240" s="255"/>
      <c r="AZ240" s="255"/>
      <c r="BA240" s="255"/>
      <c r="BB240" s="255"/>
      <c r="BC240" s="255"/>
      <c r="BD240" s="255"/>
      <c r="BE240" s="255"/>
      <c r="BF240" s="255"/>
      <c r="BG240" s="255"/>
      <c r="BH240" s="255"/>
      <c r="BI240" s="255"/>
      <c r="BJ240" s="255"/>
      <c r="BK240" s="255"/>
      <c r="BL240" s="255"/>
      <c r="BM240" s="255"/>
      <c r="BN240" s="255"/>
      <c r="BO240" s="255"/>
      <c r="BP240" s="255"/>
      <c r="BQ240" s="255"/>
      <c r="BR240" s="255"/>
      <c r="BS240" s="255"/>
    </row>
    <row r="241" spans="1:71" x14ac:dyDescent="0.25">
      <c r="A241" s="255"/>
      <c r="B241" s="239" t="s">
        <v>210</v>
      </c>
      <c r="C241" s="315"/>
      <c r="D241" s="315"/>
      <c r="E241" s="315"/>
      <c r="F241" s="315"/>
      <c r="G241" s="315"/>
      <c r="H241" s="315"/>
      <c r="I241" s="315"/>
      <c r="J241" s="240"/>
      <c r="K241" s="239" t="s">
        <v>418</v>
      </c>
      <c r="L241" s="255"/>
      <c r="M241" s="255"/>
      <c r="N241" s="255"/>
      <c r="O241" s="255"/>
      <c r="P241" s="255"/>
      <c r="Q241" s="255"/>
      <c r="R241" s="255"/>
      <c r="S241" s="255"/>
      <c r="T241" s="255"/>
      <c r="U241" s="255"/>
      <c r="V241" s="255"/>
      <c r="W241" s="255"/>
      <c r="X241" s="255"/>
      <c r="Y241" s="255"/>
      <c r="Z241" s="255"/>
      <c r="AA241" s="255"/>
      <c r="AB241" s="255"/>
      <c r="AC241" s="255"/>
      <c r="AD241" s="255"/>
      <c r="AE241" s="255"/>
      <c r="AF241" s="255"/>
      <c r="AG241" s="255"/>
      <c r="AH241" s="255"/>
      <c r="AI241" s="255"/>
      <c r="AJ241" s="255"/>
      <c r="AK241" s="255"/>
      <c r="AL241" s="255"/>
      <c r="AM241" s="255"/>
      <c r="AN241" s="255"/>
      <c r="AO241" s="255"/>
      <c r="AP241" s="255"/>
      <c r="AQ241" s="255"/>
      <c r="AR241" s="255"/>
      <c r="AS241" s="255"/>
      <c r="AT241" s="255"/>
      <c r="AU241" s="255"/>
      <c r="AV241" s="255"/>
      <c r="AW241" s="255"/>
      <c r="AX241" s="255"/>
      <c r="AY241" s="255"/>
      <c r="AZ241" s="255"/>
      <c r="BA241" s="255"/>
      <c r="BB241" s="255"/>
      <c r="BC241" s="255"/>
      <c r="BD241" s="255"/>
      <c r="BE241" s="255"/>
      <c r="BF241" s="255"/>
      <c r="BG241" s="255"/>
      <c r="BH241" s="255"/>
      <c r="BI241" s="255"/>
      <c r="BJ241" s="255"/>
      <c r="BK241" s="255"/>
      <c r="BL241" s="255"/>
      <c r="BM241" s="255"/>
      <c r="BN241" s="255"/>
      <c r="BO241" s="255"/>
      <c r="BP241" s="255"/>
      <c r="BQ241" s="255"/>
      <c r="BR241" s="255"/>
      <c r="BS241" s="255"/>
    </row>
    <row r="242" spans="1:71" x14ac:dyDescent="0.25">
      <c r="A242" s="255"/>
      <c r="B242" s="239" t="s">
        <v>218</v>
      </c>
      <c r="C242" s="238">
        <f>TRUNC(C237*C241,2)</f>
        <v>0</v>
      </c>
      <c r="D242" s="238">
        <f t="shared" ref="D242" si="77">TRUNC(D237*D241,2)</f>
        <v>0</v>
      </c>
      <c r="E242" s="238">
        <f t="shared" ref="E242" si="78">TRUNC(E237*E241,2)</f>
        <v>0</v>
      </c>
      <c r="F242" s="238">
        <f t="shared" ref="F242" si="79">TRUNC(F237*F241,2)</f>
        <v>0</v>
      </c>
      <c r="G242" s="238">
        <f t="shared" ref="G242" si="80">TRUNC(G237*G241,2)</f>
        <v>0</v>
      </c>
      <c r="H242" s="238">
        <f t="shared" ref="H242" si="81">TRUNC(H237*H241,2)</f>
        <v>0</v>
      </c>
      <c r="I242" s="238">
        <f t="shared" ref="I242" si="82">TRUNC(I237*I241,2)</f>
        <v>0</v>
      </c>
      <c r="K242" s="238">
        <f t="shared" ref="K242" si="83">C242+D242+E242+F242+G242+H242+I242</f>
        <v>0</v>
      </c>
      <c r="L242" s="255"/>
      <c r="M242" s="255"/>
      <c r="N242" s="255"/>
      <c r="O242" s="255"/>
      <c r="P242" s="255"/>
      <c r="Q242" s="255"/>
      <c r="R242" s="255"/>
      <c r="S242" s="255"/>
      <c r="T242" s="255"/>
      <c r="U242" s="255"/>
      <c r="V242" s="255"/>
      <c r="W242" s="255"/>
      <c r="X242" s="255"/>
      <c r="Y242" s="255"/>
      <c r="Z242" s="255"/>
      <c r="AA242" s="255"/>
      <c r="AB242" s="255"/>
      <c r="AC242" s="255"/>
      <c r="AD242" s="255"/>
      <c r="AE242" s="255"/>
      <c r="AF242" s="255"/>
      <c r="AG242" s="255"/>
      <c r="AH242" s="255"/>
      <c r="AI242" s="255"/>
      <c r="AJ242" s="255"/>
      <c r="AK242" s="255"/>
      <c r="AL242" s="255"/>
      <c r="AM242" s="255"/>
      <c r="AN242" s="255"/>
      <c r="AO242" s="255"/>
      <c r="AP242" s="255"/>
      <c r="AQ242" s="255"/>
      <c r="AR242" s="255"/>
      <c r="AS242" s="255"/>
      <c r="AT242" s="255"/>
      <c r="AU242" s="255"/>
      <c r="AV242" s="255"/>
      <c r="AW242" s="255"/>
      <c r="AX242" s="255"/>
      <c r="AY242" s="255"/>
      <c r="AZ242" s="255"/>
      <c r="BA242" s="255"/>
      <c r="BB242" s="255"/>
      <c r="BC242" s="255"/>
      <c r="BD242" s="255"/>
      <c r="BE242" s="255"/>
      <c r="BF242" s="255"/>
      <c r="BG242" s="255"/>
      <c r="BH242" s="255"/>
      <c r="BI242" s="255"/>
      <c r="BJ242" s="255"/>
      <c r="BK242" s="255"/>
      <c r="BL242" s="255"/>
      <c r="BM242" s="255"/>
      <c r="BN242" s="255"/>
      <c r="BO242" s="255"/>
      <c r="BP242" s="255"/>
      <c r="BQ242" s="255"/>
      <c r="BR242" s="255"/>
      <c r="BS242" s="255"/>
    </row>
    <row r="243" spans="1:71" x14ac:dyDescent="0.25">
      <c r="A243" s="255"/>
      <c r="B243" s="255"/>
      <c r="C243" s="255"/>
      <c r="D243" s="255"/>
      <c r="E243" s="255"/>
      <c r="F243" s="255"/>
      <c r="G243" s="255"/>
      <c r="H243" s="255"/>
      <c r="I243" s="255"/>
      <c r="J243" s="255"/>
      <c r="K243" s="255"/>
      <c r="L243" s="255"/>
      <c r="M243" s="255"/>
      <c r="N243" s="255"/>
      <c r="O243" s="255"/>
      <c r="P243" s="255"/>
      <c r="Q243" s="255"/>
      <c r="R243" s="255"/>
      <c r="S243" s="255"/>
      <c r="T243" s="255"/>
      <c r="U243" s="255"/>
      <c r="V243" s="255"/>
      <c r="W243" s="255"/>
      <c r="X243" s="255"/>
      <c r="Y243" s="255"/>
      <c r="Z243" s="255"/>
      <c r="AA243" s="255"/>
      <c r="AB243" s="255"/>
      <c r="AC243" s="255"/>
      <c r="AD243" s="255"/>
      <c r="AE243" s="255"/>
      <c r="AF243" s="255"/>
      <c r="AG243" s="255"/>
      <c r="AH243" s="255"/>
      <c r="AI243" s="255"/>
      <c r="AJ243" s="255"/>
      <c r="AK243" s="255"/>
      <c r="AL243" s="255"/>
      <c r="AM243" s="255"/>
      <c r="AN243" s="255"/>
      <c r="AO243" s="255"/>
      <c r="AP243" s="255"/>
      <c r="AQ243" s="255"/>
      <c r="AR243" s="255"/>
      <c r="AS243" s="255"/>
      <c r="AT243" s="255"/>
      <c r="AU243" s="255"/>
      <c r="AV243" s="255"/>
      <c r="AW243" s="255"/>
      <c r="AX243" s="255"/>
      <c r="AY243" s="255"/>
      <c r="AZ243" s="255"/>
      <c r="BA243" s="255"/>
      <c r="BB243" s="255"/>
      <c r="BC243" s="255"/>
      <c r="BD243" s="255"/>
      <c r="BE243" s="255"/>
      <c r="BF243" s="255"/>
      <c r="BG243" s="255"/>
      <c r="BH243" s="255"/>
      <c r="BI243" s="255"/>
      <c r="BJ243" s="255"/>
      <c r="BK243" s="255"/>
      <c r="BL243" s="255"/>
      <c r="BM243" s="255"/>
      <c r="BN243" s="255"/>
      <c r="BO243" s="255"/>
      <c r="BP243" s="255"/>
      <c r="BQ243" s="255"/>
      <c r="BR243" s="255"/>
      <c r="BS243" s="255"/>
    </row>
    <row r="244" spans="1:71" x14ac:dyDescent="0.25">
      <c r="A244" s="255"/>
      <c r="B244" s="239" t="s">
        <v>425</v>
      </c>
      <c r="C244" s="240">
        <v>1</v>
      </c>
      <c r="D244" s="240">
        <v>2</v>
      </c>
      <c r="E244" s="240">
        <v>3</v>
      </c>
      <c r="F244" s="240">
        <v>4</v>
      </c>
      <c r="G244" s="240">
        <v>5</v>
      </c>
      <c r="H244" s="240">
        <v>6</v>
      </c>
      <c r="I244" s="240">
        <v>7</v>
      </c>
      <c r="J244" s="255"/>
      <c r="K244" s="255"/>
      <c r="L244" s="255"/>
      <c r="M244" s="255"/>
      <c r="N244" s="255"/>
      <c r="O244" s="255"/>
      <c r="P244" s="255"/>
      <c r="Q244" s="255"/>
      <c r="R244" s="255"/>
      <c r="S244" s="255"/>
      <c r="T244" s="255"/>
      <c r="U244" s="255"/>
      <c r="V244" s="255"/>
      <c r="W244" s="255"/>
      <c r="X244" s="255"/>
      <c r="Y244" s="255"/>
      <c r="Z244" s="255"/>
      <c r="AA244" s="255"/>
      <c r="AB244" s="255"/>
      <c r="AC244" s="255"/>
      <c r="AD244" s="255"/>
      <c r="AE244" s="255"/>
      <c r="AF244" s="255"/>
      <c r="AG244" s="255"/>
      <c r="AH244" s="255"/>
      <c r="AI244" s="255"/>
      <c r="AJ244" s="255"/>
      <c r="AK244" s="255"/>
      <c r="AL244" s="255"/>
      <c r="AM244" s="255"/>
      <c r="AN244" s="255"/>
      <c r="AO244" s="255"/>
      <c r="AP244" s="255"/>
      <c r="AQ244" s="255"/>
      <c r="AR244" s="255"/>
      <c r="AS244" s="255"/>
      <c r="AT244" s="255"/>
      <c r="AU244" s="255"/>
      <c r="AV244" s="255"/>
      <c r="AW244" s="255"/>
      <c r="AX244" s="255"/>
      <c r="AY244" s="255"/>
      <c r="AZ244" s="255"/>
      <c r="BA244" s="255"/>
      <c r="BB244" s="255"/>
      <c r="BC244" s="255"/>
      <c r="BD244" s="255"/>
      <c r="BE244" s="255"/>
      <c r="BF244" s="255"/>
      <c r="BG244" s="255"/>
      <c r="BH244" s="255"/>
      <c r="BI244" s="255"/>
      <c r="BJ244" s="255"/>
      <c r="BK244" s="255"/>
      <c r="BL244" s="255"/>
      <c r="BM244" s="255"/>
      <c r="BN244" s="255"/>
      <c r="BO244" s="255"/>
      <c r="BP244" s="255"/>
      <c r="BQ244" s="255"/>
      <c r="BR244" s="255"/>
      <c r="BS244" s="255"/>
    </row>
    <row r="245" spans="1:71" x14ac:dyDescent="0.25">
      <c r="A245" s="255"/>
      <c r="B245" s="239" t="s">
        <v>420</v>
      </c>
      <c r="C245" s="335">
        <v>0</v>
      </c>
      <c r="D245" s="335">
        <v>0</v>
      </c>
      <c r="E245" s="335">
        <v>0</v>
      </c>
      <c r="F245" s="335">
        <v>0</v>
      </c>
      <c r="G245" s="335">
        <v>0</v>
      </c>
      <c r="H245" s="335">
        <v>0</v>
      </c>
      <c r="I245" s="335">
        <v>0</v>
      </c>
      <c r="J245" s="255"/>
      <c r="K245" s="255"/>
      <c r="L245" s="255"/>
      <c r="M245" s="255"/>
      <c r="N245" s="255"/>
      <c r="O245" s="255"/>
      <c r="P245" s="255"/>
      <c r="Q245" s="255"/>
      <c r="R245" s="255"/>
      <c r="S245" s="255"/>
      <c r="T245" s="255"/>
      <c r="U245" s="255"/>
      <c r="V245" s="255"/>
      <c r="W245" s="255"/>
      <c r="X245" s="255"/>
      <c r="Y245" s="255"/>
      <c r="Z245" s="255"/>
      <c r="AA245" s="255"/>
      <c r="AB245" s="255"/>
      <c r="AC245" s="255"/>
      <c r="AD245" s="255"/>
      <c r="AE245" s="255"/>
      <c r="AF245" s="255"/>
      <c r="AG245" s="255"/>
      <c r="AH245" s="255"/>
      <c r="AI245" s="255"/>
      <c r="AJ245" s="255"/>
      <c r="AK245" s="255"/>
      <c r="AL245" s="255"/>
      <c r="AM245" s="255"/>
      <c r="AN245" s="255"/>
      <c r="AO245" s="255"/>
      <c r="AP245" s="255"/>
      <c r="AQ245" s="255"/>
      <c r="AR245" s="255"/>
      <c r="AS245" s="255"/>
      <c r="AT245" s="255"/>
      <c r="AU245" s="255"/>
      <c r="AV245" s="255"/>
      <c r="AW245" s="255"/>
      <c r="AX245" s="255"/>
      <c r="AY245" s="255"/>
      <c r="AZ245" s="255"/>
      <c r="BA245" s="255"/>
      <c r="BB245" s="255"/>
      <c r="BC245" s="255"/>
      <c r="BD245" s="255"/>
      <c r="BE245" s="255"/>
      <c r="BF245" s="255"/>
      <c r="BG245" s="255"/>
      <c r="BH245" s="255"/>
      <c r="BI245" s="255"/>
      <c r="BJ245" s="255"/>
      <c r="BK245" s="255"/>
      <c r="BL245" s="255"/>
      <c r="BM245" s="255"/>
      <c r="BN245" s="255"/>
      <c r="BO245" s="255"/>
      <c r="BP245" s="255"/>
      <c r="BQ245" s="255"/>
      <c r="BR245" s="255"/>
      <c r="BS245" s="255"/>
    </row>
    <row r="246" spans="1:71" x14ac:dyDescent="0.25">
      <c r="A246" s="255"/>
      <c r="B246" s="239" t="s">
        <v>194</v>
      </c>
      <c r="C246" s="272">
        <v>1.5</v>
      </c>
      <c r="D246" s="272">
        <v>1.5</v>
      </c>
      <c r="E246" s="272">
        <v>1.5</v>
      </c>
      <c r="F246" s="272">
        <v>1.5</v>
      </c>
      <c r="G246" s="272">
        <v>1.5</v>
      </c>
      <c r="H246" s="272">
        <v>1.5</v>
      </c>
      <c r="I246" s="272">
        <v>1.5</v>
      </c>
      <c r="J246" s="255"/>
      <c r="K246" s="255"/>
      <c r="L246" s="255"/>
      <c r="M246" s="255"/>
      <c r="N246" s="255"/>
      <c r="O246" s="255"/>
      <c r="P246" s="255"/>
      <c r="Q246" s="255"/>
      <c r="R246" s="255"/>
      <c r="S246" s="255"/>
      <c r="T246" s="255"/>
      <c r="U246" s="255"/>
      <c r="V246" s="255"/>
      <c r="W246" s="255"/>
      <c r="X246" s="255"/>
      <c r="Y246" s="255"/>
      <c r="Z246" s="255"/>
      <c r="AA246" s="255"/>
      <c r="AB246" s="255"/>
      <c r="AC246" s="255"/>
      <c r="AD246" s="255"/>
      <c r="AE246" s="255"/>
      <c r="AF246" s="255"/>
      <c r="AG246" s="255"/>
      <c r="AH246" s="255"/>
      <c r="AI246" s="255"/>
      <c r="AJ246" s="255"/>
      <c r="AK246" s="255"/>
      <c r="AL246" s="255"/>
      <c r="AM246" s="255"/>
      <c r="AN246" s="255"/>
      <c r="AO246" s="255"/>
      <c r="AP246" s="255"/>
      <c r="AQ246" s="255"/>
      <c r="AR246" s="255"/>
      <c r="AS246" s="255"/>
      <c r="AT246" s="255"/>
      <c r="AU246" s="255"/>
      <c r="AV246" s="255"/>
      <c r="AW246" s="255"/>
      <c r="AX246" s="255"/>
      <c r="AY246" s="255"/>
      <c r="AZ246" s="255"/>
      <c r="BA246" s="255"/>
      <c r="BB246" s="255"/>
      <c r="BC246" s="255"/>
      <c r="BD246" s="255"/>
      <c r="BE246" s="255"/>
      <c r="BF246" s="255"/>
      <c r="BG246" s="255"/>
      <c r="BH246" s="255"/>
      <c r="BI246" s="255"/>
      <c r="BJ246" s="255"/>
      <c r="BK246" s="255"/>
      <c r="BL246" s="255"/>
      <c r="BM246" s="255"/>
      <c r="BN246" s="255"/>
      <c r="BO246" s="255"/>
      <c r="BP246" s="255"/>
      <c r="BQ246" s="255"/>
      <c r="BR246" s="255"/>
      <c r="BS246" s="255"/>
    </row>
    <row r="247" spans="1:71" x14ac:dyDescent="0.25">
      <c r="A247" s="255"/>
      <c r="B247" s="239" t="s">
        <v>209</v>
      </c>
      <c r="C247" s="238">
        <f>TRUNC(C245/C246,2)</f>
        <v>0</v>
      </c>
      <c r="D247" s="238">
        <f t="shared" ref="D247" si="84">TRUNC(D245/D246,2)</f>
        <v>0</v>
      </c>
      <c r="E247" s="238">
        <f t="shared" ref="E247" si="85">TRUNC(E245/E246,2)</f>
        <v>0</v>
      </c>
      <c r="F247" s="238">
        <f t="shared" ref="F247" si="86">TRUNC(F245/F246,2)</f>
        <v>0</v>
      </c>
      <c r="G247" s="238">
        <f t="shared" ref="G247" si="87">TRUNC(G245/G246,2)</f>
        <v>0</v>
      </c>
      <c r="H247" s="238">
        <f t="shared" ref="H247" si="88">TRUNC(H245/H246,2)</f>
        <v>0</v>
      </c>
      <c r="I247" s="238">
        <f t="shared" ref="I247" si="89">TRUNC(I245/I246,2)</f>
        <v>0</v>
      </c>
      <c r="J247" s="255"/>
      <c r="K247" s="255"/>
      <c r="L247" s="255"/>
      <c r="M247" s="255"/>
      <c r="N247" s="255"/>
      <c r="O247" s="255"/>
      <c r="P247" s="255"/>
      <c r="Q247" s="255"/>
      <c r="R247" s="255"/>
      <c r="S247" s="255"/>
      <c r="T247" s="255"/>
      <c r="U247" s="255"/>
      <c r="V247" s="255"/>
      <c r="W247" s="255"/>
      <c r="X247" s="255"/>
      <c r="Y247" s="255"/>
      <c r="Z247" s="255"/>
      <c r="AA247" s="255"/>
      <c r="AB247" s="255"/>
      <c r="AC247" s="255"/>
      <c r="AD247" s="255"/>
      <c r="AE247" s="255"/>
      <c r="AF247" s="255"/>
      <c r="AG247" s="255"/>
      <c r="AH247" s="255"/>
      <c r="AI247" s="255"/>
      <c r="AJ247" s="255"/>
      <c r="AK247" s="255"/>
      <c r="AL247" s="255"/>
      <c r="AM247" s="255"/>
      <c r="AN247" s="255"/>
      <c r="AO247" s="255"/>
      <c r="AP247" s="255"/>
      <c r="AQ247" s="255"/>
      <c r="AR247" s="255"/>
      <c r="AS247" s="255"/>
      <c r="AT247" s="255"/>
      <c r="AU247" s="255"/>
      <c r="AV247" s="255"/>
      <c r="AW247" s="255"/>
      <c r="AX247" s="255"/>
      <c r="AY247" s="255"/>
      <c r="AZ247" s="255"/>
      <c r="BA247" s="255"/>
      <c r="BB247" s="255"/>
      <c r="BC247" s="255"/>
      <c r="BD247" s="255"/>
      <c r="BE247" s="255"/>
      <c r="BF247" s="255"/>
      <c r="BG247" s="255"/>
      <c r="BH247" s="255"/>
      <c r="BI247" s="255"/>
      <c r="BJ247" s="255"/>
      <c r="BK247" s="255"/>
      <c r="BL247" s="255"/>
      <c r="BM247" s="255"/>
      <c r="BN247" s="255"/>
      <c r="BO247" s="255"/>
      <c r="BP247" s="255"/>
      <c r="BQ247" s="255"/>
      <c r="BR247" s="255"/>
      <c r="BS247" s="255"/>
    </row>
    <row r="248" spans="1:71" x14ac:dyDescent="0.25">
      <c r="A248" s="255"/>
      <c r="B248" s="237" t="s">
        <v>211</v>
      </c>
      <c r="C248" s="315"/>
      <c r="D248" s="315"/>
      <c r="E248" s="315"/>
      <c r="F248" s="315"/>
      <c r="G248" s="315"/>
      <c r="H248" s="315"/>
      <c r="I248" s="315"/>
      <c r="J248" s="255"/>
      <c r="K248" s="255"/>
      <c r="L248" s="255"/>
      <c r="M248" s="255"/>
      <c r="N248" s="255"/>
      <c r="O248" s="255"/>
      <c r="P248" s="255"/>
      <c r="Q248" s="255"/>
      <c r="R248" s="255"/>
      <c r="S248" s="255"/>
      <c r="T248" s="255"/>
      <c r="U248" s="255"/>
      <c r="V248" s="255"/>
      <c r="W248" s="255"/>
      <c r="X248" s="255"/>
      <c r="Y248" s="255"/>
      <c r="Z248" s="255"/>
      <c r="AA248" s="255"/>
      <c r="AB248" s="255"/>
      <c r="AC248" s="255"/>
      <c r="AD248" s="255"/>
      <c r="AE248" s="255"/>
      <c r="AF248" s="255"/>
      <c r="AG248" s="255"/>
      <c r="AH248" s="255"/>
      <c r="AI248" s="255"/>
      <c r="AJ248" s="255"/>
      <c r="AK248" s="255"/>
      <c r="AL248" s="255"/>
      <c r="AM248" s="255"/>
      <c r="AN248" s="255"/>
      <c r="AO248" s="255"/>
      <c r="AP248" s="255"/>
      <c r="AQ248" s="255"/>
      <c r="AR248" s="255"/>
      <c r="AS248" s="255"/>
      <c r="AT248" s="255"/>
      <c r="AU248" s="255"/>
      <c r="AV248" s="255"/>
      <c r="AW248" s="255"/>
      <c r="AX248" s="255"/>
      <c r="AY248" s="255"/>
      <c r="AZ248" s="255"/>
      <c r="BA248" s="255"/>
      <c r="BB248" s="255"/>
      <c r="BC248" s="255"/>
      <c r="BD248" s="255"/>
      <c r="BE248" s="255"/>
      <c r="BF248" s="255"/>
      <c r="BG248" s="255"/>
      <c r="BH248" s="255"/>
      <c r="BI248" s="255"/>
      <c r="BJ248" s="255"/>
      <c r="BK248" s="255"/>
      <c r="BL248" s="255"/>
      <c r="BM248" s="255"/>
      <c r="BN248" s="255"/>
      <c r="BO248" s="255"/>
      <c r="BP248" s="255"/>
      <c r="BQ248" s="255"/>
      <c r="BR248" s="255"/>
      <c r="BS248" s="255"/>
    </row>
    <row r="249" spans="1:71" x14ac:dyDescent="0.25">
      <c r="A249" s="255"/>
      <c r="B249" s="239" t="s">
        <v>421</v>
      </c>
      <c r="C249" s="238" cm="1">
        <f t="array" ref="C249">IFERROR(
IF(
  OR($E$207&lt;MIN($S$123:$S$125),$E$207&gt;MAX($S$123:$S$125),C248&lt;MIN($T$122:$AF$122),C248&gt;MAX($T$122:$AF$122)),
  0,
  (
    INDEX($T$123:$AF$125,MATCH($E$207,$S$123:$S$125,-1),MATCH(C248,$T$122:$AF$122,1))*
      ($E$207-INDEX($S$123:$S$125,MATCH($E$207,$S$123:$S$125,-1)+1))*
      (INDEX($T$122:$AF$122,1,MATCH(C248,$T$122:$AF$122,1)+1)-C248)
  +
    INDEX($T$123:$AF$125,MATCH($E$207,$S$123:$S$125,-1)+1,MATCH(C248,$T$122:$AF$122,1))*
      (INDEX($S$123:$S$125,MATCH($E$207,$S$123:$S$125,-1))-$E$207)*
      (INDEX($T$122:$AF$122,1,MATCH(C248,$T$122:$AF$122,1)+1)-C248)
  +
    INDEX($T$123:$AF$125,MATCH($E$207,$S$123:$S$125,-1),MATCH(C248,$T$122:$AF$122,1)+1)*
      ($E$207-INDEX($S$123:$S$125,MATCH($E$207,$S$123:$S$125,-1)+1))*
      (C248-INDEX($T$122:$AF$122,1,MATCH(C248,$T$122:$AF$122,1)))
  +
    INDEX($T$123:$AF$125,MATCH($E$207,$S$123:$S$125,-1)+1,MATCH(C248,$T$122:$AF$122,1)+1)*
      (INDEX($S$123:$S$125,MATCH($E$207,$S$123:$S$125,-1))-$E$207)*
      (C248-INDEX($T$122:$AF$122,1,MATCH(C248,$T$122:$AF$122,1)))
  )
  /
  (
    (INDEX($S$123:$S$125,MATCH($E$207,$S$123:$S$125,-1))-INDEX($S$123:$S$125,MATCH($E$207,$S$123:$S$125,-1)+1))*
    (INDEX($T$122:$AF$122,1,MATCH(C248,$T$122:$AF$122,1)+1)-INDEX($T$122:$AF$122,1,MATCH(C248,$T$122:$AF$122,1)))
  )
),
0)</f>
        <v>0</v>
      </c>
      <c r="D249" s="238" cm="1">
        <f t="array" ref="D249">IFERROR(
IF(
  OR($E$207&lt;MIN($S$123:$S$125),$E$207&gt;MAX($S$123:$S$125),D248&lt;MIN($T$122:$AF$122),D248&gt;MAX($T$122:$AF$122)),
  0,
  (
    INDEX($T$123:$AF$125,MATCH($E$207,$S$123:$S$125,-1),MATCH(D248,$T$122:$AF$122,1))*
      ($E$207-INDEX($S$123:$S$125,MATCH($E$207,$S$123:$S$125,-1)+1))*
      (INDEX($T$122:$AF$122,1,MATCH(D248,$T$122:$AF$122,1)+1)-D248)
  +
    INDEX($T$123:$AF$125,MATCH($E$207,$S$123:$S$125,-1)+1,MATCH(D248,$T$122:$AF$122,1))*
      (INDEX($S$123:$S$125,MATCH($E$207,$S$123:$S$125,-1))-$E$207)*
      (INDEX($T$122:$AF$122,1,MATCH(D248,$T$122:$AF$122,1)+1)-D248)
  +
    INDEX($T$123:$AF$125,MATCH($E$207,$S$123:$S$125,-1),MATCH(D248,$T$122:$AF$122,1)+1)*
      ($E$207-INDEX($S$123:$S$125,MATCH($E$207,$S$123:$S$125,-1)+1))*
      (D248-INDEX($T$122:$AF$122,1,MATCH(D248,$T$122:$AF$122,1)))
  +
    INDEX($T$123:$AF$125,MATCH($E$207,$S$123:$S$125,-1)+1,MATCH(D248,$T$122:$AF$122,1)+1)*
      (INDEX($S$123:$S$125,MATCH($E$207,$S$123:$S$125,-1))-$E$207)*
      (D248-INDEX($T$122:$AF$122,1,MATCH(D248,$T$122:$AF$122,1)))
  )
  /
  (
    (INDEX($S$123:$S$125,MATCH($E$207,$S$123:$S$125,-1))-INDEX($S$123:$S$125,MATCH($E$207,$S$123:$S$125,-1)+1))*
    (INDEX($T$122:$AF$122,1,MATCH(D248,$T$122:$AF$122,1)+1)-INDEX($T$122:$AF$122,1,MATCH(D248,$T$122:$AF$122,1)))
  )
),
0)</f>
        <v>0</v>
      </c>
      <c r="E249" s="238" cm="1">
        <f t="array" ref="E249">IFERROR(
IF(
  OR($E$207&lt;MIN($S$123:$S$125),$E$207&gt;MAX($S$123:$S$125),E248&lt;MIN($T$122:$AF$122),E248&gt;MAX($T$122:$AF$122)),
  0,
  (
    INDEX($T$123:$AF$125,MATCH($E$207,$S$123:$S$125,-1),MATCH(E248,$T$122:$AF$122,1))*
      ($E$207-INDEX($S$123:$S$125,MATCH($E$207,$S$123:$S$125,-1)+1))*
      (INDEX($T$122:$AF$122,1,MATCH(E248,$T$122:$AF$122,1)+1)-E248)
  +
    INDEX($T$123:$AF$125,MATCH($E$207,$S$123:$S$125,-1)+1,MATCH(E248,$T$122:$AF$122,1))*
      (INDEX($S$123:$S$125,MATCH($E$207,$S$123:$S$125,-1))-$E$207)*
      (INDEX($T$122:$AF$122,1,MATCH(E248,$T$122:$AF$122,1)+1)-E248)
  +
    INDEX($T$123:$AF$125,MATCH($E$207,$S$123:$S$125,-1),MATCH(E248,$T$122:$AF$122,1)+1)*
      ($E$207-INDEX($S$123:$S$125,MATCH($E$207,$S$123:$S$125,-1)+1))*
      (E248-INDEX($T$122:$AF$122,1,MATCH(E248,$T$122:$AF$122,1)))
  +
    INDEX($T$123:$AF$125,MATCH($E$207,$S$123:$S$125,-1)+1,MATCH(E248,$T$122:$AF$122,1)+1)*
      (INDEX($S$123:$S$125,MATCH($E$207,$S$123:$S$125,-1))-$E$207)*
      (E248-INDEX($T$122:$AF$122,1,MATCH(E248,$T$122:$AF$122,1)))
  )
  /
  (
    (INDEX($S$123:$S$125,MATCH($E$207,$S$123:$S$125,-1))-INDEX($S$123:$S$125,MATCH($E$207,$S$123:$S$125,-1)+1))*
    (INDEX($T$122:$AF$122,1,MATCH(E248,$T$122:$AF$122,1)+1)-INDEX($T$122:$AF$122,1,MATCH(E248,$T$122:$AF$122,1)))
  )
),
0)</f>
        <v>0</v>
      </c>
      <c r="F249" s="238" cm="1">
        <f t="array" ref="F249">IFERROR(
IF(
  OR($E$207&lt;MIN($S$123:$S$125),$E$207&gt;MAX($S$123:$S$125),F248&lt;MIN($T$122:$AF$122),F248&gt;MAX($T$122:$AF$122)),
  0,
  (
    INDEX($T$123:$AF$125,MATCH($E$207,$S$123:$S$125,-1),MATCH(F248,$T$122:$AF$122,1))*
      ($E$207-INDEX($S$123:$S$125,MATCH($E$207,$S$123:$S$125,-1)+1))*
      (INDEX($T$122:$AF$122,1,MATCH(F248,$T$122:$AF$122,1)+1)-F248)
  +
    INDEX($T$123:$AF$125,MATCH($E$207,$S$123:$S$125,-1)+1,MATCH(F248,$T$122:$AF$122,1))*
      (INDEX($S$123:$S$125,MATCH($E$207,$S$123:$S$125,-1))-$E$207)*
      (INDEX($T$122:$AF$122,1,MATCH(F248,$T$122:$AF$122,1)+1)-F248)
  +
    INDEX($T$123:$AF$125,MATCH($E$207,$S$123:$S$125,-1),MATCH(F248,$T$122:$AF$122,1)+1)*
      ($E$207-INDEX($S$123:$S$125,MATCH($E$207,$S$123:$S$125,-1)+1))*
      (F248-INDEX($T$122:$AF$122,1,MATCH(F248,$T$122:$AF$122,1)))
  +
    INDEX($T$123:$AF$125,MATCH($E$207,$S$123:$S$125,-1)+1,MATCH(F248,$T$122:$AF$122,1)+1)*
      (INDEX($S$123:$S$125,MATCH($E$207,$S$123:$S$125,-1))-$E$207)*
      (F248-INDEX($T$122:$AF$122,1,MATCH(F248,$T$122:$AF$122,1)))
  )
  /
  (
    (INDEX($S$123:$S$125,MATCH($E$207,$S$123:$S$125,-1))-INDEX($S$123:$S$125,MATCH($E$207,$S$123:$S$125,-1)+1))*
    (INDEX($T$122:$AF$122,1,MATCH(F248,$T$122:$AF$122,1)+1)-INDEX($T$122:$AF$122,1,MATCH(F248,$T$122:$AF$122,1)))
  )
),
0)</f>
        <v>0</v>
      </c>
      <c r="G249" s="238" cm="1">
        <f t="array" ref="G249">IFERROR(
IF(
  OR($E$207&lt;MIN($S$123:$S$125),$E$207&gt;MAX($S$123:$S$125),G248&lt;MIN($T$122:$AF$122),G248&gt;MAX($T$122:$AF$122)),
  0,
  (
    INDEX($T$123:$AF$125,MATCH($E$207,$S$123:$S$125,-1),MATCH(G248,$T$122:$AF$122,1))*
      ($E$207-INDEX($S$123:$S$125,MATCH($E$207,$S$123:$S$125,-1)+1))*
      (INDEX($T$122:$AF$122,1,MATCH(G248,$T$122:$AF$122,1)+1)-G248)
  +
    INDEX($T$123:$AF$125,MATCH($E$207,$S$123:$S$125,-1)+1,MATCH(G248,$T$122:$AF$122,1))*
      (INDEX($S$123:$S$125,MATCH($E$207,$S$123:$S$125,-1))-$E$207)*
      (INDEX($T$122:$AF$122,1,MATCH(G248,$T$122:$AF$122,1)+1)-G248)
  +
    INDEX($T$123:$AF$125,MATCH($E$207,$S$123:$S$125,-1),MATCH(G248,$T$122:$AF$122,1)+1)*
      ($E$207-INDEX($S$123:$S$125,MATCH($E$207,$S$123:$S$125,-1)+1))*
      (G248-INDEX($T$122:$AF$122,1,MATCH(G248,$T$122:$AF$122,1)))
  +
    INDEX($T$123:$AF$125,MATCH($E$207,$S$123:$S$125,-1)+1,MATCH(G248,$T$122:$AF$122,1)+1)*
      (INDEX($S$123:$S$125,MATCH($E$207,$S$123:$S$125,-1))-$E$207)*
      (G248-INDEX($T$122:$AF$122,1,MATCH(G248,$T$122:$AF$122,1)))
  )
  /
  (
    (INDEX($S$123:$S$125,MATCH($E$207,$S$123:$S$125,-1))-INDEX($S$123:$S$125,MATCH($E$207,$S$123:$S$125,-1)+1))*
    (INDEX($T$122:$AF$122,1,MATCH(G248,$T$122:$AF$122,1)+1)-INDEX($T$122:$AF$122,1,MATCH(G248,$T$122:$AF$122,1)))
  )
),
0)</f>
        <v>0</v>
      </c>
      <c r="H249" s="238" cm="1">
        <f t="array" ref="H249">IFERROR(
IF(
  OR($E$207&lt;MIN($S$123:$S$125),$E$207&gt;MAX($S$123:$S$125),H248&lt;MIN($T$122:$AF$122),H248&gt;MAX($T$122:$AF$122)),
  0,
  (
    INDEX($T$123:$AF$125,MATCH($E$207,$S$123:$S$125,-1),MATCH(H248,$T$122:$AF$122,1))*
      ($E$207-INDEX($S$123:$S$125,MATCH($E$207,$S$123:$S$125,-1)+1))*
      (INDEX($T$122:$AF$122,1,MATCH(H248,$T$122:$AF$122,1)+1)-H248)
  +
    INDEX($T$123:$AF$125,MATCH($E$207,$S$123:$S$125,-1)+1,MATCH(H248,$T$122:$AF$122,1))*
      (INDEX($S$123:$S$125,MATCH($E$207,$S$123:$S$125,-1))-$E$207)*
      (INDEX($T$122:$AF$122,1,MATCH(H248,$T$122:$AF$122,1)+1)-H248)
  +
    INDEX($T$123:$AF$125,MATCH($E$207,$S$123:$S$125,-1),MATCH(H248,$T$122:$AF$122,1)+1)*
      ($E$207-INDEX($S$123:$S$125,MATCH($E$207,$S$123:$S$125,-1)+1))*
      (H248-INDEX($T$122:$AF$122,1,MATCH(H248,$T$122:$AF$122,1)))
  +
    INDEX($T$123:$AF$125,MATCH($E$207,$S$123:$S$125,-1)+1,MATCH(H248,$T$122:$AF$122,1)+1)*
      (INDEX($S$123:$S$125,MATCH($E$207,$S$123:$S$125,-1))-$E$207)*
      (H248-INDEX($T$122:$AF$122,1,MATCH(H248,$T$122:$AF$122,1)))
  )
  /
  (
    (INDEX($S$123:$S$125,MATCH($E$207,$S$123:$S$125,-1))-INDEX($S$123:$S$125,MATCH($E$207,$S$123:$S$125,-1)+1))*
    (INDEX($T$122:$AF$122,1,MATCH(H248,$T$122:$AF$122,1)+1)-INDEX($T$122:$AF$122,1,MATCH(H248,$T$122:$AF$122,1)))
  )
),
0)</f>
        <v>0</v>
      </c>
      <c r="I249" s="238" cm="1">
        <f t="array" ref="I249">IFERROR(
IF(
  OR($E$207&lt;MIN($S$123:$S$125),$E$207&gt;MAX($S$123:$S$125),I248&lt;MIN($T$122:$AF$122),I248&gt;MAX($T$122:$AF$122)),
  0,
  (
    INDEX($T$123:$AF$125,MATCH($E$207,$S$123:$S$125,-1),MATCH(I248,$T$122:$AF$122,1))*
      ($E$207-INDEX($S$123:$S$125,MATCH($E$207,$S$123:$S$125,-1)+1))*
      (INDEX($T$122:$AF$122,1,MATCH(I248,$T$122:$AF$122,1)+1)-I248)
  +
    INDEX($T$123:$AF$125,MATCH($E$207,$S$123:$S$125,-1)+1,MATCH(I248,$T$122:$AF$122,1))*
      (INDEX($S$123:$S$125,MATCH($E$207,$S$123:$S$125,-1))-$E$207)*
      (INDEX($T$122:$AF$122,1,MATCH(I248,$T$122:$AF$122,1)+1)-I248)
  +
    INDEX($T$123:$AF$125,MATCH($E$207,$S$123:$S$125,-1),MATCH(I248,$T$122:$AF$122,1)+1)*
      ($E$207-INDEX($S$123:$S$125,MATCH($E$207,$S$123:$S$125,-1)+1))*
      (I248-INDEX($T$122:$AF$122,1,MATCH(I248,$T$122:$AF$122,1)))
  +
    INDEX($T$123:$AF$125,MATCH($E$207,$S$123:$S$125,-1)+1,MATCH(I248,$T$122:$AF$122,1)+1)*
      (INDEX($S$123:$S$125,MATCH($E$207,$S$123:$S$125,-1))-$E$207)*
      (I248-INDEX($T$122:$AF$122,1,MATCH(I248,$T$122:$AF$122,1)))
  )
  /
  (
    (INDEX($S$123:$S$125,MATCH($E$207,$S$123:$S$125,-1))-INDEX($S$123:$S$125,MATCH($E$207,$S$123:$S$125,-1)+1))*
    (INDEX($T$122:$AF$122,1,MATCH(I248,$T$122:$AF$122,1)+1)-INDEX($T$122:$AF$122,1,MATCH(I248,$T$122:$AF$122,1)))
  )
),
0)</f>
        <v>0</v>
      </c>
      <c r="J249" s="255"/>
      <c r="K249" s="255"/>
      <c r="L249" s="255"/>
      <c r="M249" s="255"/>
      <c r="N249" s="255"/>
      <c r="O249" s="255"/>
      <c r="P249" s="255"/>
      <c r="Q249" s="255"/>
      <c r="R249" s="255"/>
      <c r="S249" s="255"/>
      <c r="T249" s="255"/>
      <c r="U249" s="255"/>
      <c r="V249" s="255"/>
      <c r="W249" s="255"/>
      <c r="X249" s="255"/>
      <c r="Y249" s="255"/>
      <c r="Z249" s="255"/>
      <c r="AA249" s="255"/>
      <c r="AB249" s="255"/>
      <c r="AC249" s="255"/>
      <c r="AD249" s="255"/>
      <c r="AE249" s="255"/>
      <c r="AF249" s="255"/>
      <c r="AG249" s="255"/>
      <c r="AH249" s="255"/>
      <c r="AI249" s="255"/>
      <c r="AJ249" s="255"/>
      <c r="AK249" s="255"/>
      <c r="AL249" s="255"/>
      <c r="AM249" s="255"/>
      <c r="AN249" s="255"/>
      <c r="AO249" s="255"/>
      <c r="AP249" s="255"/>
      <c r="AQ249" s="255"/>
      <c r="AR249" s="255"/>
      <c r="AS249" s="255"/>
      <c r="AT249" s="255"/>
      <c r="AU249" s="255"/>
      <c r="AV249" s="255"/>
      <c r="AW249" s="255"/>
      <c r="AX249" s="255"/>
      <c r="AY249" s="255"/>
      <c r="AZ249" s="255"/>
      <c r="BA249" s="255"/>
      <c r="BB249" s="255"/>
      <c r="BC249" s="255"/>
      <c r="BD249" s="255"/>
      <c r="BE249" s="255"/>
      <c r="BF249" s="255"/>
      <c r="BG249" s="255"/>
      <c r="BH249" s="255"/>
      <c r="BI249" s="255"/>
      <c r="BJ249" s="255"/>
      <c r="BK249" s="255"/>
      <c r="BL249" s="255"/>
      <c r="BM249" s="255"/>
      <c r="BN249" s="255"/>
      <c r="BO249" s="255"/>
      <c r="BP249" s="255"/>
      <c r="BQ249" s="255"/>
      <c r="BR249" s="255"/>
      <c r="BS249" s="255"/>
    </row>
    <row r="250" spans="1:71" x14ac:dyDescent="0.25">
      <c r="A250" s="255"/>
      <c r="B250" s="239" t="s">
        <v>443</v>
      </c>
      <c r="C250" s="272">
        <v>0.5</v>
      </c>
      <c r="D250" s="272">
        <v>0.5</v>
      </c>
      <c r="E250" s="272">
        <v>0.5</v>
      </c>
      <c r="F250" s="272">
        <v>0.5</v>
      </c>
      <c r="G250" s="272">
        <v>0.5</v>
      </c>
      <c r="H250" s="272">
        <v>0.5</v>
      </c>
      <c r="I250" s="272">
        <v>0.5</v>
      </c>
      <c r="J250" s="240"/>
      <c r="K250" s="239" t="s">
        <v>445</v>
      </c>
      <c r="L250" s="255"/>
      <c r="M250" s="255"/>
      <c r="N250" s="255"/>
      <c r="O250" s="255"/>
      <c r="P250" s="255"/>
      <c r="Q250" s="255"/>
      <c r="R250" s="255"/>
      <c r="S250" s="255"/>
      <c r="T250" s="255"/>
      <c r="U250" s="255"/>
      <c r="V250" s="255"/>
      <c r="W250" s="255"/>
      <c r="X250" s="255"/>
      <c r="Y250" s="255"/>
      <c r="Z250" s="255"/>
      <c r="AA250" s="255"/>
      <c r="AB250" s="255"/>
      <c r="AC250" s="255"/>
      <c r="AD250" s="255"/>
      <c r="AE250" s="255"/>
      <c r="AF250" s="255"/>
      <c r="AG250" s="255"/>
      <c r="AH250" s="255"/>
      <c r="AI250" s="255"/>
      <c r="AJ250" s="255"/>
      <c r="AK250" s="255"/>
      <c r="AL250" s="255"/>
      <c r="AM250" s="255"/>
      <c r="AN250" s="255"/>
      <c r="AO250" s="255"/>
      <c r="AP250" s="255"/>
      <c r="AQ250" s="255"/>
      <c r="AR250" s="255"/>
      <c r="AS250" s="255"/>
      <c r="AT250" s="255"/>
      <c r="AU250" s="255"/>
      <c r="AV250" s="255"/>
      <c r="AW250" s="255"/>
      <c r="AX250" s="255"/>
      <c r="AY250" s="255"/>
      <c r="AZ250" s="255"/>
      <c r="BA250" s="255"/>
      <c r="BB250" s="255"/>
      <c r="BC250" s="255"/>
      <c r="BD250" s="255"/>
      <c r="BE250" s="255"/>
      <c r="BF250" s="255"/>
      <c r="BG250" s="255"/>
      <c r="BH250" s="255"/>
      <c r="BI250" s="255"/>
      <c r="BJ250" s="255"/>
      <c r="BK250" s="255"/>
      <c r="BL250" s="255"/>
      <c r="BM250" s="255"/>
      <c r="BN250" s="255"/>
      <c r="BO250" s="255"/>
      <c r="BP250" s="255"/>
      <c r="BQ250" s="255"/>
      <c r="BR250" s="255"/>
      <c r="BS250" s="255"/>
    </row>
    <row r="251" spans="1:71" x14ac:dyDescent="0.25">
      <c r="A251" s="255"/>
      <c r="B251" s="239" t="s">
        <v>444</v>
      </c>
      <c r="C251" s="238">
        <f>TRUNC(C247*C249*C250,2)</f>
        <v>0</v>
      </c>
      <c r="D251" s="238">
        <f t="shared" ref="D251:I251" si="90">TRUNC(D247*D249*D250,2)</f>
        <v>0</v>
      </c>
      <c r="E251" s="238">
        <f t="shared" si="90"/>
        <v>0</v>
      </c>
      <c r="F251" s="238">
        <f t="shared" si="90"/>
        <v>0</v>
      </c>
      <c r="G251" s="238">
        <f t="shared" si="90"/>
        <v>0</v>
      </c>
      <c r="H251" s="238">
        <f t="shared" si="90"/>
        <v>0</v>
      </c>
      <c r="I251" s="238">
        <f t="shared" si="90"/>
        <v>0</v>
      </c>
      <c r="K251" s="238">
        <f>C251+D251+E251+F251+G251+H251+I251</f>
        <v>0</v>
      </c>
      <c r="L251" s="255"/>
      <c r="M251" s="255"/>
      <c r="N251" s="255"/>
      <c r="O251" s="255"/>
      <c r="P251" s="255"/>
      <c r="Q251" s="255"/>
      <c r="R251" s="255"/>
      <c r="S251" s="255"/>
      <c r="T251" s="255"/>
      <c r="U251" s="255"/>
      <c r="V251" s="255"/>
      <c r="W251" s="255"/>
      <c r="X251" s="255"/>
      <c r="Y251" s="255"/>
      <c r="Z251" s="255"/>
      <c r="AA251" s="255"/>
      <c r="AB251" s="255"/>
      <c r="AC251" s="255"/>
      <c r="AD251" s="255"/>
      <c r="AE251" s="255"/>
      <c r="AF251" s="255"/>
      <c r="AG251" s="255"/>
      <c r="AH251" s="255"/>
      <c r="AI251" s="255"/>
      <c r="AJ251" s="255"/>
      <c r="AK251" s="255"/>
      <c r="AL251" s="255"/>
      <c r="AM251" s="255"/>
      <c r="AN251" s="255"/>
      <c r="AO251" s="255"/>
      <c r="AP251" s="255"/>
      <c r="AQ251" s="255"/>
      <c r="AR251" s="255"/>
      <c r="AS251" s="255"/>
      <c r="AT251" s="255"/>
      <c r="AU251" s="255"/>
      <c r="AV251" s="255"/>
      <c r="AW251" s="255"/>
      <c r="AX251" s="255"/>
      <c r="AY251" s="255"/>
      <c r="AZ251" s="255"/>
      <c r="BA251" s="255"/>
      <c r="BB251" s="255"/>
      <c r="BC251" s="255"/>
      <c r="BD251" s="255"/>
      <c r="BE251" s="255"/>
      <c r="BF251" s="255"/>
      <c r="BG251" s="255"/>
      <c r="BH251" s="255"/>
      <c r="BI251" s="255"/>
      <c r="BJ251" s="255"/>
      <c r="BK251" s="255"/>
      <c r="BL251" s="255"/>
      <c r="BM251" s="255"/>
      <c r="BN251" s="255"/>
      <c r="BO251" s="255"/>
      <c r="BP251" s="255"/>
      <c r="BQ251" s="255"/>
      <c r="BR251" s="255"/>
      <c r="BS251" s="255"/>
    </row>
    <row r="252" spans="1:71" x14ac:dyDescent="0.25">
      <c r="A252" s="255"/>
      <c r="B252" s="255"/>
      <c r="C252" s="255"/>
      <c r="D252" s="255"/>
      <c r="E252" s="255"/>
      <c r="F252" s="255"/>
      <c r="G252" s="255"/>
      <c r="H252" s="255"/>
      <c r="I252" s="255"/>
      <c r="J252" s="255"/>
      <c r="K252" s="255"/>
      <c r="L252" s="255"/>
      <c r="M252" s="255"/>
      <c r="N252" s="255"/>
      <c r="O252" s="255"/>
      <c r="P252" s="255"/>
      <c r="Q252" s="255"/>
      <c r="R252" s="255"/>
      <c r="S252" s="255"/>
      <c r="T252" s="255"/>
      <c r="U252" s="255"/>
      <c r="V252" s="255"/>
      <c r="W252" s="255"/>
      <c r="X252" s="255"/>
      <c r="Y252" s="255"/>
      <c r="Z252" s="255"/>
      <c r="AA252" s="255"/>
      <c r="AB252" s="255"/>
      <c r="AC252" s="255"/>
      <c r="AD252" s="255"/>
      <c r="AE252" s="255"/>
      <c r="AF252" s="255"/>
      <c r="AG252" s="255"/>
      <c r="AH252" s="255"/>
      <c r="AI252" s="255"/>
      <c r="AJ252" s="255"/>
      <c r="AK252" s="255"/>
      <c r="AL252" s="255"/>
      <c r="AM252" s="255"/>
      <c r="AN252" s="255"/>
      <c r="AO252" s="255"/>
      <c r="AP252" s="255"/>
      <c r="AQ252" s="255"/>
      <c r="AR252" s="255"/>
      <c r="AS252" s="255"/>
      <c r="AT252" s="255"/>
      <c r="AU252" s="255"/>
      <c r="AV252" s="255"/>
      <c r="AW252" s="255"/>
      <c r="AX252" s="255"/>
      <c r="AY252" s="255"/>
      <c r="AZ252" s="255"/>
      <c r="BA252" s="255"/>
      <c r="BB252" s="255"/>
      <c r="BC252" s="255"/>
      <c r="BD252" s="255"/>
      <c r="BE252" s="255"/>
      <c r="BF252" s="255"/>
      <c r="BG252" s="255"/>
      <c r="BH252" s="255"/>
      <c r="BI252" s="255"/>
      <c r="BJ252" s="255"/>
      <c r="BK252" s="255"/>
      <c r="BL252" s="255"/>
      <c r="BM252" s="255"/>
      <c r="BN252" s="255"/>
      <c r="BO252" s="255"/>
      <c r="BP252" s="255"/>
      <c r="BQ252" s="255"/>
      <c r="BR252" s="255"/>
      <c r="BS252" s="255"/>
    </row>
    <row r="253" spans="1:71" x14ac:dyDescent="0.25">
      <c r="A253" s="255"/>
      <c r="B253" s="239" t="s">
        <v>426</v>
      </c>
      <c r="C253" s="240">
        <v>1</v>
      </c>
      <c r="D253" s="240">
        <v>2</v>
      </c>
      <c r="E253" s="240">
        <v>3</v>
      </c>
      <c r="F253" s="240">
        <v>4</v>
      </c>
      <c r="G253" s="240">
        <v>5</v>
      </c>
      <c r="H253" s="240">
        <v>6</v>
      </c>
      <c r="I253" s="240">
        <v>7</v>
      </c>
      <c r="J253" s="255"/>
      <c r="K253" s="255"/>
      <c r="L253" s="255"/>
      <c r="M253" s="255"/>
      <c r="N253" s="255"/>
      <c r="O253" s="255"/>
      <c r="P253" s="255"/>
      <c r="Q253" s="255"/>
      <c r="R253" s="255"/>
      <c r="S253" s="255"/>
      <c r="T253" s="255"/>
      <c r="U253" s="255"/>
      <c r="V253" s="255"/>
      <c r="W253" s="255"/>
      <c r="X253" s="255"/>
      <c r="Y253" s="255"/>
      <c r="Z253" s="255"/>
      <c r="AA253" s="255"/>
      <c r="AB253" s="255"/>
      <c r="AC253" s="255"/>
      <c r="AD253" s="255"/>
      <c r="AE253" s="255"/>
      <c r="AF253" s="255"/>
      <c r="AG253" s="255"/>
      <c r="AH253" s="255"/>
      <c r="AI253" s="255"/>
      <c r="AJ253" s="255"/>
      <c r="AK253" s="255"/>
      <c r="AL253" s="255"/>
      <c r="AM253" s="255"/>
      <c r="AN253" s="255"/>
      <c r="AO253" s="255"/>
      <c r="AP253" s="255"/>
      <c r="AQ253" s="255"/>
      <c r="AR253" s="255"/>
      <c r="AS253" s="255"/>
      <c r="AT253" s="255"/>
      <c r="AU253" s="255"/>
      <c r="AV253" s="255"/>
      <c r="AW253" s="255"/>
      <c r="AX253" s="255"/>
      <c r="AY253" s="255"/>
      <c r="AZ253" s="255"/>
      <c r="BA253" s="255"/>
      <c r="BB253" s="255"/>
      <c r="BC253" s="255"/>
      <c r="BD253" s="255"/>
      <c r="BE253" s="255"/>
      <c r="BF253" s="255"/>
      <c r="BG253" s="255"/>
      <c r="BH253" s="255"/>
      <c r="BI253" s="255"/>
      <c r="BJ253" s="255"/>
      <c r="BK253" s="255"/>
      <c r="BL253" s="255"/>
      <c r="BM253" s="255"/>
      <c r="BN253" s="255"/>
      <c r="BO253" s="255"/>
      <c r="BP253" s="255"/>
      <c r="BQ253" s="255"/>
      <c r="BR253" s="255"/>
      <c r="BS253" s="255"/>
    </row>
    <row r="254" spans="1:71" x14ac:dyDescent="0.25">
      <c r="A254" s="255"/>
      <c r="B254" s="239" t="s">
        <v>420</v>
      </c>
      <c r="C254" s="335">
        <v>0</v>
      </c>
      <c r="D254" s="335">
        <v>0</v>
      </c>
      <c r="E254" s="335">
        <v>0</v>
      </c>
      <c r="F254" s="335">
        <v>0</v>
      </c>
      <c r="G254" s="335">
        <v>0</v>
      </c>
      <c r="H254" s="335">
        <v>0</v>
      </c>
      <c r="I254" s="335">
        <v>0</v>
      </c>
      <c r="J254" s="255"/>
      <c r="K254" s="255"/>
      <c r="L254" s="255"/>
      <c r="M254" s="255"/>
      <c r="N254" s="255"/>
      <c r="O254" s="255"/>
      <c r="P254" s="255"/>
      <c r="Q254" s="255"/>
      <c r="R254" s="255"/>
      <c r="S254" s="255"/>
      <c r="T254" s="255"/>
      <c r="U254" s="255"/>
      <c r="V254" s="255"/>
      <c r="W254" s="255"/>
      <c r="X254" s="255"/>
      <c r="Y254" s="255"/>
      <c r="Z254" s="255"/>
      <c r="AA254" s="255"/>
      <c r="AB254" s="255"/>
      <c r="AC254" s="255"/>
      <c r="AD254" s="255"/>
      <c r="AE254" s="255"/>
      <c r="AF254" s="255"/>
      <c r="AG254" s="255"/>
      <c r="AH254" s="255"/>
      <c r="AI254" s="255"/>
      <c r="AJ254" s="255"/>
      <c r="AK254" s="255"/>
      <c r="AL254" s="255"/>
      <c r="AM254" s="255"/>
      <c r="AN254" s="255"/>
      <c r="AO254" s="255"/>
      <c r="AP254" s="255"/>
      <c r="AQ254" s="255"/>
      <c r="AR254" s="255"/>
      <c r="AS254" s="255"/>
      <c r="AT254" s="255"/>
      <c r="AU254" s="255"/>
      <c r="AV254" s="255"/>
      <c r="AW254" s="255"/>
      <c r="AX254" s="255"/>
      <c r="AY254" s="255"/>
      <c r="AZ254" s="255"/>
      <c r="BA254" s="255"/>
      <c r="BB254" s="255"/>
      <c r="BC254" s="255"/>
      <c r="BD254" s="255"/>
      <c r="BE254" s="255"/>
      <c r="BF254" s="255"/>
      <c r="BG254" s="255"/>
      <c r="BH254" s="255"/>
      <c r="BI254" s="255"/>
      <c r="BJ254" s="255"/>
      <c r="BK254" s="255"/>
      <c r="BL254" s="255"/>
      <c r="BM254" s="255"/>
      <c r="BN254" s="255"/>
      <c r="BO254" s="255"/>
      <c r="BP254" s="255"/>
      <c r="BQ254" s="255"/>
      <c r="BR254" s="255"/>
      <c r="BS254" s="255"/>
    </row>
    <row r="255" spans="1:71" x14ac:dyDescent="0.25">
      <c r="A255" s="255"/>
      <c r="B255" s="239" t="s">
        <v>194</v>
      </c>
      <c r="C255" s="272">
        <v>1.5</v>
      </c>
      <c r="D255" s="272">
        <v>1.5</v>
      </c>
      <c r="E255" s="272">
        <v>1.5</v>
      </c>
      <c r="F255" s="272">
        <v>1.5</v>
      </c>
      <c r="G255" s="272">
        <v>1.5</v>
      </c>
      <c r="H255" s="272">
        <v>1.5</v>
      </c>
      <c r="I255" s="272">
        <v>1.5</v>
      </c>
      <c r="J255" s="255"/>
      <c r="K255" s="255"/>
      <c r="L255" s="255"/>
      <c r="M255" s="255"/>
      <c r="N255" s="255"/>
      <c r="O255" s="255"/>
      <c r="P255" s="255"/>
      <c r="Q255" s="255"/>
      <c r="R255" s="255"/>
      <c r="S255" s="255"/>
      <c r="T255" s="255"/>
      <c r="U255" s="255"/>
      <c r="V255" s="255"/>
      <c r="W255" s="255"/>
      <c r="X255" s="255"/>
      <c r="Y255" s="255"/>
      <c r="Z255" s="255"/>
      <c r="AA255" s="255"/>
      <c r="AB255" s="255"/>
      <c r="AC255" s="255"/>
      <c r="AD255" s="255"/>
      <c r="AE255" s="255"/>
      <c r="AF255" s="255"/>
      <c r="AG255" s="255"/>
      <c r="AH255" s="255"/>
      <c r="AI255" s="255"/>
      <c r="AJ255" s="255"/>
      <c r="AK255" s="255"/>
      <c r="AL255" s="255"/>
      <c r="AM255" s="255"/>
      <c r="AN255" s="255"/>
      <c r="AO255" s="255"/>
      <c r="AP255" s="255"/>
      <c r="AQ255" s="255"/>
      <c r="AR255" s="255"/>
      <c r="AS255" s="255"/>
      <c r="AT255" s="255"/>
      <c r="AU255" s="255"/>
      <c r="AV255" s="255"/>
      <c r="AW255" s="255"/>
      <c r="AX255" s="255"/>
      <c r="AY255" s="255"/>
      <c r="AZ255" s="255"/>
      <c r="BA255" s="255"/>
      <c r="BB255" s="255"/>
      <c r="BC255" s="255"/>
      <c r="BD255" s="255"/>
      <c r="BE255" s="255"/>
      <c r="BF255" s="255"/>
      <c r="BG255" s="255"/>
      <c r="BH255" s="255"/>
      <c r="BI255" s="255"/>
      <c r="BJ255" s="255"/>
      <c r="BK255" s="255"/>
      <c r="BL255" s="255"/>
      <c r="BM255" s="255"/>
      <c r="BN255" s="255"/>
      <c r="BO255" s="255"/>
      <c r="BP255" s="255"/>
      <c r="BQ255" s="255"/>
      <c r="BR255" s="255"/>
      <c r="BS255" s="255"/>
    </row>
    <row r="256" spans="1:71" x14ac:dyDescent="0.25">
      <c r="A256" s="255"/>
      <c r="B256" s="239" t="s">
        <v>209</v>
      </c>
      <c r="C256" s="238">
        <f>TRUNC(C254/C255,2)</f>
        <v>0</v>
      </c>
      <c r="D256" s="238">
        <f t="shared" ref="D256" si="91">TRUNC(D254/D255,2)</f>
        <v>0</v>
      </c>
      <c r="E256" s="238">
        <f t="shared" ref="E256" si="92">TRUNC(E254/E255,2)</f>
        <v>0</v>
      </c>
      <c r="F256" s="238">
        <f t="shared" ref="F256" si="93">TRUNC(F254/F255,2)</f>
        <v>0</v>
      </c>
      <c r="G256" s="238">
        <f t="shared" ref="G256" si="94">TRUNC(G254/G255,2)</f>
        <v>0</v>
      </c>
      <c r="H256" s="238">
        <f t="shared" ref="H256" si="95">TRUNC(H254/H255,2)</f>
        <v>0</v>
      </c>
      <c r="I256" s="238">
        <f t="shared" ref="I256" si="96">TRUNC(I254/I255,2)</f>
        <v>0</v>
      </c>
      <c r="J256" s="255"/>
      <c r="K256" s="255"/>
      <c r="L256" s="255"/>
      <c r="M256" s="255"/>
      <c r="N256" s="255"/>
      <c r="O256" s="255"/>
      <c r="P256" s="255"/>
      <c r="Q256" s="255"/>
      <c r="R256" s="255"/>
      <c r="S256" s="255"/>
      <c r="T256" s="255"/>
      <c r="U256" s="255"/>
      <c r="V256" s="255"/>
      <c r="W256" s="255"/>
      <c r="X256" s="255"/>
      <c r="Y256" s="255"/>
      <c r="Z256" s="255"/>
      <c r="AA256" s="255"/>
      <c r="AB256" s="255"/>
      <c r="AC256" s="255"/>
      <c r="AD256" s="255"/>
      <c r="AE256" s="255"/>
      <c r="AF256" s="255"/>
      <c r="AG256" s="255"/>
      <c r="AH256" s="255"/>
      <c r="AI256" s="255"/>
      <c r="AJ256" s="255"/>
      <c r="AK256" s="255"/>
      <c r="AL256" s="255"/>
      <c r="AM256" s="255"/>
      <c r="AN256" s="255"/>
      <c r="AO256" s="255"/>
      <c r="AP256" s="255"/>
      <c r="AQ256" s="255"/>
      <c r="AR256" s="255"/>
      <c r="AS256" s="255"/>
      <c r="AT256" s="255"/>
      <c r="AU256" s="255"/>
      <c r="AV256" s="255"/>
      <c r="AW256" s="255"/>
      <c r="AX256" s="255"/>
      <c r="AY256" s="255"/>
      <c r="AZ256" s="255"/>
      <c r="BA256" s="255"/>
      <c r="BB256" s="255"/>
      <c r="BC256" s="255"/>
      <c r="BD256" s="255"/>
      <c r="BE256" s="255"/>
      <c r="BF256" s="255"/>
      <c r="BG256" s="255"/>
      <c r="BH256" s="255"/>
      <c r="BI256" s="255"/>
      <c r="BJ256" s="255"/>
      <c r="BK256" s="255"/>
      <c r="BL256" s="255"/>
      <c r="BM256" s="255"/>
      <c r="BN256" s="255"/>
      <c r="BO256" s="255"/>
      <c r="BP256" s="255"/>
      <c r="BQ256" s="255"/>
      <c r="BR256" s="255"/>
      <c r="BS256" s="255"/>
    </row>
    <row r="257" spans="1:71" x14ac:dyDescent="0.25">
      <c r="A257" s="255"/>
      <c r="B257" s="237" t="s">
        <v>211</v>
      </c>
      <c r="C257" s="315"/>
      <c r="D257" s="315"/>
      <c r="E257" s="315"/>
      <c r="F257" s="315"/>
      <c r="G257" s="315"/>
      <c r="H257" s="315"/>
      <c r="I257" s="315"/>
      <c r="J257" s="255"/>
      <c r="K257" s="255"/>
      <c r="L257" s="255"/>
      <c r="M257" s="255"/>
      <c r="N257" s="255"/>
      <c r="O257" s="255"/>
      <c r="P257" s="255"/>
      <c r="Q257" s="255"/>
      <c r="R257" s="255"/>
      <c r="S257" s="255"/>
      <c r="T257" s="255"/>
      <c r="U257" s="255"/>
      <c r="V257" s="255"/>
      <c r="W257" s="255"/>
      <c r="X257" s="255"/>
      <c r="Y257" s="255"/>
      <c r="Z257" s="255"/>
      <c r="AA257" s="255"/>
      <c r="AB257" s="255"/>
      <c r="AC257" s="255"/>
      <c r="AD257" s="255"/>
      <c r="AE257" s="255"/>
      <c r="AF257" s="255"/>
      <c r="AG257" s="255"/>
      <c r="AH257" s="255"/>
      <c r="AI257" s="255"/>
      <c r="AJ257" s="255"/>
      <c r="AK257" s="255"/>
      <c r="AL257" s="255"/>
      <c r="AM257" s="255"/>
      <c r="AN257" s="255"/>
      <c r="AO257" s="255"/>
      <c r="AP257" s="255"/>
      <c r="AQ257" s="255"/>
      <c r="AR257" s="255"/>
      <c r="AS257" s="255"/>
      <c r="AT257" s="255"/>
      <c r="AU257" s="255"/>
      <c r="AV257" s="255"/>
      <c r="AW257" s="255"/>
      <c r="AX257" s="255"/>
      <c r="AY257" s="255"/>
      <c r="AZ257" s="255"/>
      <c r="BA257" s="255"/>
      <c r="BB257" s="255"/>
      <c r="BC257" s="255"/>
      <c r="BD257" s="255"/>
      <c r="BE257" s="255"/>
      <c r="BF257" s="255"/>
      <c r="BG257" s="255"/>
      <c r="BH257" s="255"/>
      <c r="BI257" s="255"/>
      <c r="BJ257" s="255"/>
      <c r="BK257" s="255"/>
      <c r="BL257" s="255"/>
      <c r="BM257" s="255"/>
      <c r="BN257" s="255"/>
      <c r="BO257" s="255"/>
      <c r="BP257" s="255"/>
      <c r="BQ257" s="255"/>
      <c r="BR257" s="255"/>
      <c r="BS257" s="255"/>
    </row>
    <row r="258" spans="1:71" x14ac:dyDescent="0.25">
      <c r="A258" s="255"/>
      <c r="B258" s="239" t="s">
        <v>421</v>
      </c>
      <c r="C258" s="238" cm="1">
        <f t="array" ref="C258">IFERROR(
IF(
  OR($E$207&lt;MIN($S$123:$S$125),$E$207&gt;MAX($S$123:$S$125),C257&lt;MIN($T$122:$AF$122),C257&gt;MAX($T$122:$AF$122)),
  0,
  (
    INDEX($T$123:$AF$125,MATCH($E$207,$S$123:$S$125,-1),MATCH(C257,$T$122:$AF$122,1))*
      ($E$207-INDEX($S$123:$S$125,MATCH($E$207,$S$123:$S$125,-1)+1))*
      (INDEX($T$122:$AF$122,1,MATCH(C257,$T$122:$AF$122,1)+1)-C257)
  +
    INDEX($T$123:$AF$125,MATCH($E$207,$S$123:$S$125,-1)+1,MATCH(C257,$T$122:$AF$122,1))*
      (INDEX($S$123:$S$125,MATCH($E$207,$S$123:$S$125,-1))-$E$207)*
      (INDEX($T$122:$AF$122,1,MATCH(C257,$T$122:$AF$122,1)+1)-C257)
  +
    INDEX($T$123:$AF$125,MATCH($E$207,$S$123:$S$125,-1),MATCH(C257,$T$122:$AF$122,1)+1)*
      ($E$207-INDEX($S$123:$S$125,MATCH($E$207,$S$123:$S$125,-1)+1))*
      (C257-INDEX($T$122:$AF$122,1,MATCH(C257,$T$122:$AF$122,1)))
  +
    INDEX($T$123:$AF$125,MATCH($E$207,$S$123:$S$125,-1)+1,MATCH(C257,$T$122:$AF$122,1)+1)*
      (INDEX($S$123:$S$125,MATCH($E$207,$S$123:$S$125,-1))-$E$207)*
      (C257-INDEX($T$122:$AF$122,1,MATCH(C257,$T$122:$AF$122,1)))
  )
  /
  (
    (INDEX($S$123:$S$125,MATCH($E$207,$S$123:$S$125,-1))-INDEX($S$123:$S$125,MATCH($E$207,$S$123:$S$125,-1)+1))*
    (INDEX($T$122:$AF$122,1,MATCH(C257,$T$122:$AF$122,1)+1)-INDEX($T$122:$AF$122,1,MATCH(C257,$T$122:$AF$122,1)))
  )
),
0)</f>
        <v>0</v>
      </c>
      <c r="D258" s="238" cm="1">
        <f t="array" ref="D258">IFERROR(
IF(
  OR($E$207&lt;MIN($S$123:$S$125),$E$207&gt;MAX($S$123:$S$125),D257&lt;MIN($T$122:$AF$122),D257&gt;MAX($T$122:$AF$122)),
  0,
  (
    INDEX($T$123:$AF$125,MATCH($E$207,$S$123:$S$125,-1),MATCH(D257,$T$122:$AF$122,1))*
      ($E$207-INDEX($S$123:$S$125,MATCH($E$207,$S$123:$S$125,-1)+1))*
      (INDEX($T$122:$AF$122,1,MATCH(D257,$T$122:$AF$122,1)+1)-D257)
  +
    INDEX($T$123:$AF$125,MATCH($E$207,$S$123:$S$125,-1)+1,MATCH(D257,$T$122:$AF$122,1))*
      (INDEX($S$123:$S$125,MATCH($E$207,$S$123:$S$125,-1))-$E$207)*
      (INDEX($T$122:$AF$122,1,MATCH(D257,$T$122:$AF$122,1)+1)-D257)
  +
    INDEX($T$123:$AF$125,MATCH($E$207,$S$123:$S$125,-1),MATCH(D257,$T$122:$AF$122,1)+1)*
      ($E$207-INDEX($S$123:$S$125,MATCH($E$207,$S$123:$S$125,-1)+1))*
      (D257-INDEX($T$122:$AF$122,1,MATCH(D257,$T$122:$AF$122,1)))
  +
    INDEX($T$123:$AF$125,MATCH($E$207,$S$123:$S$125,-1)+1,MATCH(D257,$T$122:$AF$122,1)+1)*
      (INDEX($S$123:$S$125,MATCH($E$207,$S$123:$S$125,-1))-$E$207)*
      (D257-INDEX($T$122:$AF$122,1,MATCH(D257,$T$122:$AF$122,1)))
  )
  /
  (
    (INDEX($S$123:$S$125,MATCH($E$207,$S$123:$S$125,-1))-INDEX($S$123:$S$125,MATCH($E$207,$S$123:$S$125,-1)+1))*
    (INDEX($T$122:$AF$122,1,MATCH(D257,$T$122:$AF$122,1)+1)-INDEX($T$122:$AF$122,1,MATCH(D257,$T$122:$AF$122,1)))
  )
),
0)</f>
        <v>0</v>
      </c>
      <c r="E258" s="238" cm="1">
        <f t="array" ref="E258">IFERROR(
IF(
  OR($E$207&lt;MIN($S$123:$S$125),$E$207&gt;MAX($S$123:$S$125),E257&lt;MIN($T$122:$AF$122),E257&gt;MAX($T$122:$AF$122)),
  0,
  (
    INDEX($T$123:$AF$125,MATCH($E$207,$S$123:$S$125,-1),MATCH(E257,$T$122:$AF$122,1))*
      ($E$207-INDEX($S$123:$S$125,MATCH($E$207,$S$123:$S$125,-1)+1))*
      (INDEX($T$122:$AF$122,1,MATCH(E257,$T$122:$AF$122,1)+1)-E257)
  +
    INDEX($T$123:$AF$125,MATCH($E$207,$S$123:$S$125,-1)+1,MATCH(E257,$T$122:$AF$122,1))*
      (INDEX($S$123:$S$125,MATCH($E$207,$S$123:$S$125,-1))-$E$207)*
      (INDEX($T$122:$AF$122,1,MATCH(E257,$T$122:$AF$122,1)+1)-E257)
  +
    INDEX($T$123:$AF$125,MATCH($E$207,$S$123:$S$125,-1),MATCH(E257,$T$122:$AF$122,1)+1)*
      ($E$207-INDEX($S$123:$S$125,MATCH($E$207,$S$123:$S$125,-1)+1))*
      (E257-INDEX($T$122:$AF$122,1,MATCH(E257,$T$122:$AF$122,1)))
  +
    INDEX($T$123:$AF$125,MATCH($E$207,$S$123:$S$125,-1)+1,MATCH(E257,$T$122:$AF$122,1)+1)*
      (INDEX($S$123:$S$125,MATCH($E$207,$S$123:$S$125,-1))-$E$207)*
      (E257-INDEX($T$122:$AF$122,1,MATCH(E257,$T$122:$AF$122,1)))
  )
  /
  (
    (INDEX($S$123:$S$125,MATCH($E$207,$S$123:$S$125,-1))-INDEX($S$123:$S$125,MATCH($E$207,$S$123:$S$125,-1)+1))*
    (INDEX($T$122:$AF$122,1,MATCH(E257,$T$122:$AF$122,1)+1)-INDEX($T$122:$AF$122,1,MATCH(E257,$T$122:$AF$122,1)))
  )
),
0)</f>
        <v>0</v>
      </c>
      <c r="F258" s="238" cm="1">
        <f t="array" ref="F258">IFERROR(
IF(
  OR($E$207&lt;MIN($S$123:$S$125),$E$207&gt;MAX($S$123:$S$125),F257&lt;MIN($T$122:$AF$122),F257&gt;MAX($T$122:$AF$122)),
  0,
  (
    INDEX($T$123:$AF$125,MATCH($E$207,$S$123:$S$125,-1),MATCH(F257,$T$122:$AF$122,1))*
      ($E$207-INDEX($S$123:$S$125,MATCH($E$207,$S$123:$S$125,-1)+1))*
      (INDEX($T$122:$AF$122,1,MATCH(F257,$T$122:$AF$122,1)+1)-F257)
  +
    INDEX($T$123:$AF$125,MATCH($E$207,$S$123:$S$125,-1)+1,MATCH(F257,$T$122:$AF$122,1))*
      (INDEX($S$123:$S$125,MATCH($E$207,$S$123:$S$125,-1))-$E$207)*
      (INDEX($T$122:$AF$122,1,MATCH(F257,$T$122:$AF$122,1)+1)-F257)
  +
    INDEX($T$123:$AF$125,MATCH($E$207,$S$123:$S$125,-1),MATCH(F257,$T$122:$AF$122,1)+1)*
      ($E$207-INDEX($S$123:$S$125,MATCH($E$207,$S$123:$S$125,-1)+1))*
      (F257-INDEX($T$122:$AF$122,1,MATCH(F257,$T$122:$AF$122,1)))
  +
    INDEX($T$123:$AF$125,MATCH($E$207,$S$123:$S$125,-1)+1,MATCH(F257,$T$122:$AF$122,1)+1)*
      (INDEX($S$123:$S$125,MATCH($E$207,$S$123:$S$125,-1))-$E$207)*
      (F257-INDEX($T$122:$AF$122,1,MATCH(F257,$T$122:$AF$122,1)))
  )
  /
  (
    (INDEX($S$123:$S$125,MATCH($E$207,$S$123:$S$125,-1))-INDEX($S$123:$S$125,MATCH($E$207,$S$123:$S$125,-1)+1))*
    (INDEX($T$122:$AF$122,1,MATCH(F257,$T$122:$AF$122,1)+1)-INDEX($T$122:$AF$122,1,MATCH(F257,$T$122:$AF$122,1)))
  )
),
0)</f>
        <v>0</v>
      </c>
      <c r="G258" s="238" cm="1">
        <f t="array" ref="G258">IFERROR(
IF(
  OR($E$207&lt;MIN($S$123:$S$125),$E$207&gt;MAX($S$123:$S$125),G257&lt;MIN($T$122:$AF$122),G257&gt;MAX($T$122:$AF$122)),
  0,
  (
    INDEX($T$123:$AF$125,MATCH($E$207,$S$123:$S$125,-1),MATCH(G257,$T$122:$AF$122,1))*
      ($E$207-INDEX($S$123:$S$125,MATCH($E$207,$S$123:$S$125,-1)+1))*
      (INDEX($T$122:$AF$122,1,MATCH(G257,$T$122:$AF$122,1)+1)-G257)
  +
    INDEX($T$123:$AF$125,MATCH($E$207,$S$123:$S$125,-1)+1,MATCH(G257,$T$122:$AF$122,1))*
      (INDEX($S$123:$S$125,MATCH($E$207,$S$123:$S$125,-1))-$E$207)*
      (INDEX($T$122:$AF$122,1,MATCH(G257,$T$122:$AF$122,1)+1)-G257)
  +
    INDEX($T$123:$AF$125,MATCH($E$207,$S$123:$S$125,-1),MATCH(G257,$T$122:$AF$122,1)+1)*
      ($E$207-INDEX($S$123:$S$125,MATCH($E$207,$S$123:$S$125,-1)+1))*
      (G257-INDEX($T$122:$AF$122,1,MATCH(G257,$T$122:$AF$122,1)))
  +
    INDEX($T$123:$AF$125,MATCH($E$207,$S$123:$S$125,-1)+1,MATCH(G257,$T$122:$AF$122,1)+1)*
      (INDEX($S$123:$S$125,MATCH($E$207,$S$123:$S$125,-1))-$E$207)*
      (G257-INDEX($T$122:$AF$122,1,MATCH(G257,$T$122:$AF$122,1)))
  )
  /
  (
    (INDEX($S$123:$S$125,MATCH($E$207,$S$123:$S$125,-1))-INDEX($S$123:$S$125,MATCH($E$207,$S$123:$S$125,-1)+1))*
    (INDEX($T$122:$AF$122,1,MATCH(G257,$T$122:$AF$122,1)+1)-INDEX($T$122:$AF$122,1,MATCH(G257,$T$122:$AF$122,1)))
  )
),
0)</f>
        <v>0</v>
      </c>
      <c r="H258" s="238" cm="1">
        <f t="array" ref="H258">IFERROR(
IF(
  OR($E$207&lt;MIN($S$123:$S$125),$E$207&gt;MAX($S$123:$S$125),H257&lt;MIN($T$122:$AF$122),H257&gt;MAX($T$122:$AF$122)),
  0,
  (
    INDEX($T$123:$AF$125,MATCH($E$207,$S$123:$S$125,-1),MATCH(H257,$T$122:$AF$122,1))*
      ($E$207-INDEX($S$123:$S$125,MATCH($E$207,$S$123:$S$125,-1)+1))*
      (INDEX($T$122:$AF$122,1,MATCH(H257,$T$122:$AF$122,1)+1)-H257)
  +
    INDEX($T$123:$AF$125,MATCH($E$207,$S$123:$S$125,-1)+1,MATCH(H257,$T$122:$AF$122,1))*
      (INDEX($S$123:$S$125,MATCH($E$207,$S$123:$S$125,-1))-$E$207)*
      (INDEX($T$122:$AF$122,1,MATCH(H257,$T$122:$AF$122,1)+1)-H257)
  +
    INDEX($T$123:$AF$125,MATCH($E$207,$S$123:$S$125,-1),MATCH(H257,$T$122:$AF$122,1)+1)*
      ($E$207-INDEX($S$123:$S$125,MATCH($E$207,$S$123:$S$125,-1)+1))*
      (H257-INDEX($T$122:$AF$122,1,MATCH(H257,$T$122:$AF$122,1)))
  +
    INDEX($T$123:$AF$125,MATCH($E$207,$S$123:$S$125,-1)+1,MATCH(H257,$T$122:$AF$122,1)+1)*
      (INDEX($S$123:$S$125,MATCH($E$207,$S$123:$S$125,-1))-$E$207)*
      (H257-INDEX($T$122:$AF$122,1,MATCH(H257,$T$122:$AF$122,1)))
  )
  /
  (
    (INDEX($S$123:$S$125,MATCH($E$207,$S$123:$S$125,-1))-INDEX($S$123:$S$125,MATCH($E$207,$S$123:$S$125,-1)+1))*
    (INDEX($T$122:$AF$122,1,MATCH(H257,$T$122:$AF$122,1)+1)-INDEX($T$122:$AF$122,1,MATCH(H257,$T$122:$AF$122,1)))
  )
),
0)</f>
        <v>0</v>
      </c>
      <c r="I258" s="238" cm="1">
        <f t="array" ref="I258">IFERROR(
IF(
  OR($E$207&lt;MIN($S$123:$S$125),$E$207&gt;MAX($S$123:$S$125),I257&lt;MIN($T$122:$AF$122),I257&gt;MAX($T$122:$AF$122)),
  0,
  (
    INDEX($T$123:$AF$125,MATCH($E$207,$S$123:$S$125,-1),MATCH(I257,$T$122:$AF$122,1))*
      ($E$207-INDEX($S$123:$S$125,MATCH($E$207,$S$123:$S$125,-1)+1))*
      (INDEX($T$122:$AF$122,1,MATCH(I257,$T$122:$AF$122,1)+1)-I257)
  +
    INDEX($T$123:$AF$125,MATCH($E$207,$S$123:$S$125,-1)+1,MATCH(I257,$T$122:$AF$122,1))*
      (INDEX($S$123:$S$125,MATCH($E$207,$S$123:$S$125,-1))-$E$207)*
      (INDEX($T$122:$AF$122,1,MATCH(I257,$T$122:$AF$122,1)+1)-I257)
  +
    INDEX($T$123:$AF$125,MATCH($E$207,$S$123:$S$125,-1),MATCH(I257,$T$122:$AF$122,1)+1)*
      ($E$207-INDEX($S$123:$S$125,MATCH($E$207,$S$123:$S$125,-1)+1))*
      (I257-INDEX($T$122:$AF$122,1,MATCH(I257,$T$122:$AF$122,1)))
  +
    INDEX($T$123:$AF$125,MATCH($E$207,$S$123:$S$125,-1)+1,MATCH(I257,$T$122:$AF$122,1)+1)*
      (INDEX($S$123:$S$125,MATCH($E$207,$S$123:$S$125,-1))-$E$207)*
      (I257-INDEX($T$122:$AF$122,1,MATCH(I257,$T$122:$AF$122,1)))
  )
  /
  (
    (INDEX($S$123:$S$125,MATCH($E$207,$S$123:$S$125,-1))-INDEX($S$123:$S$125,MATCH($E$207,$S$123:$S$125,-1)+1))*
    (INDEX($T$122:$AF$122,1,MATCH(I257,$T$122:$AF$122,1)+1)-INDEX($T$122:$AF$122,1,MATCH(I257,$T$122:$AF$122,1)))
  )
),
0)</f>
        <v>0</v>
      </c>
      <c r="J258" s="255"/>
      <c r="K258" s="255"/>
      <c r="L258" s="255"/>
      <c r="M258" s="255"/>
      <c r="N258" s="255"/>
      <c r="O258" s="255"/>
      <c r="P258" s="255"/>
      <c r="Q258" s="255"/>
      <c r="R258" s="255"/>
      <c r="S258" s="255"/>
      <c r="T258" s="255"/>
      <c r="U258" s="255"/>
      <c r="V258" s="255"/>
      <c r="W258" s="255"/>
      <c r="X258" s="255"/>
      <c r="Y258" s="255"/>
      <c r="Z258" s="255"/>
      <c r="AA258" s="255"/>
      <c r="AB258" s="255"/>
      <c r="AC258" s="255"/>
      <c r="AD258" s="255"/>
      <c r="AE258" s="255"/>
      <c r="AF258" s="255"/>
      <c r="AG258" s="255"/>
      <c r="AH258" s="255"/>
      <c r="AI258" s="255"/>
      <c r="AJ258" s="255"/>
      <c r="AK258" s="255"/>
      <c r="AL258" s="255"/>
      <c r="AM258" s="255"/>
      <c r="AN258" s="255"/>
      <c r="AO258" s="255"/>
      <c r="AP258" s="255"/>
      <c r="AQ258" s="255"/>
      <c r="AR258" s="255"/>
      <c r="AS258" s="255"/>
      <c r="AT258" s="255"/>
      <c r="AU258" s="255"/>
      <c r="AV258" s="255"/>
      <c r="AW258" s="255"/>
      <c r="AX258" s="255"/>
      <c r="AY258" s="255"/>
      <c r="AZ258" s="255"/>
      <c r="BA258" s="255"/>
      <c r="BB258" s="255"/>
      <c r="BC258" s="255"/>
      <c r="BD258" s="255"/>
      <c r="BE258" s="255"/>
      <c r="BF258" s="255"/>
      <c r="BG258" s="255"/>
      <c r="BH258" s="255"/>
      <c r="BI258" s="255"/>
      <c r="BJ258" s="255"/>
      <c r="BK258" s="255"/>
      <c r="BL258" s="255"/>
      <c r="BM258" s="255"/>
      <c r="BN258" s="255"/>
      <c r="BO258" s="255"/>
      <c r="BP258" s="255"/>
      <c r="BQ258" s="255"/>
      <c r="BR258" s="255"/>
      <c r="BS258" s="255"/>
    </row>
    <row r="259" spans="1:71" x14ac:dyDescent="0.25">
      <c r="A259" s="255"/>
      <c r="B259" s="239" t="s">
        <v>443</v>
      </c>
      <c r="C259" s="272">
        <v>0.5</v>
      </c>
      <c r="D259" s="272">
        <v>0.5</v>
      </c>
      <c r="E259" s="272">
        <v>0.5</v>
      </c>
      <c r="F259" s="272">
        <v>0.5</v>
      </c>
      <c r="G259" s="272">
        <v>0.5</v>
      </c>
      <c r="H259" s="272">
        <v>0.5</v>
      </c>
      <c r="I259" s="272">
        <v>0.5</v>
      </c>
      <c r="J259" s="240"/>
      <c r="K259" s="239" t="s">
        <v>445</v>
      </c>
      <c r="L259" s="255"/>
      <c r="M259" s="255"/>
      <c r="N259" s="255"/>
      <c r="O259" s="255"/>
      <c r="P259" s="255"/>
      <c r="Q259" s="255"/>
      <c r="R259" s="255"/>
      <c r="S259" s="255"/>
      <c r="T259" s="255"/>
      <c r="U259" s="255"/>
      <c r="V259" s="255"/>
      <c r="W259" s="255"/>
      <c r="X259" s="255"/>
      <c r="Y259" s="255"/>
      <c r="Z259" s="255"/>
      <c r="AA259" s="255"/>
      <c r="AB259" s="255"/>
      <c r="AC259" s="255"/>
      <c r="AD259" s="255"/>
      <c r="AE259" s="255"/>
      <c r="AF259" s="255"/>
      <c r="AG259" s="255"/>
      <c r="AH259" s="255"/>
      <c r="AI259" s="255"/>
      <c r="AJ259" s="255"/>
      <c r="AK259" s="255"/>
      <c r="AL259" s="255"/>
      <c r="AM259" s="255"/>
      <c r="AN259" s="255"/>
      <c r="AO259" s="255"/>
      <c r="AP259" s="255"/>
      <c r="AQ259" s="255"/>
      <c r="AR259" s="255"/>
      <c r="AS259" s="255"/>
      <c r="AT259" s="255"/>
      <c r="AU259" s="255"/>
      <c r="AV259" s="255"/>
      <c r="AW259" s="255"/>
      <c r="AX259" s="255"/>
      <c r="AY259" s="255"/>
      <c r="AZ259" s="255"/>
      <c r="BA259" s="255"/>
      <c r="BB259" s="255"/>
      <c r="BC259" s="255"/>
      <c r="BD259" s="255"/>
      <c r="BE259" s="255"/>
      <c r="BF259" s="255"/>
      <c r="BG259" s="255"/>
      <c r="BH259" s="255"/>
      <c r="BI259" s="255"/>
      <c r="BJ259" s="255"/>
      <c r="BK259" s="255"/>
      <c r="BL259" s="255"/>
      <c r="BM259" s="255"/>
      <c r="BN259" s="255"/>
      <c r="BO259" s="255"/>
      <c r="BP259" s="255"/>
      <c r="BQ259" s="255"/>
      <c r="BR259" s="255"/>
      <c r="BS259" s="255"/>
    </row>
    <row r="260" spans="1:71" x14ac:dyDescent="0.25">
      <c r="A260" s="255"/>
      <c r="B260" s="239" t="s">
        <v>444</v>
      </c>
      <c r="C260" s="238">
        <f>TRUNC(C256*C258*C259,2)</f>
        <v>0</v>
      </c>
      <c r="D260" s="238">
        <f t="shared" ref="D260" si="97">TRUNC(D256*D258*D259,2)</f>
        <v>0</v>
      </c>
      <c r="E260" s="238">
        <f t="shared" ref="E260" si="98">TRUNC(E256*E258*E259,2)</f>
        <v>0</v>
      </c>
      <c r="F260" s="238">
        <f t="shared" ref="F260" si="99">TRUNC(F256*F258*F259,2)</f>
        <v>0</v>
      </c>
      <c r="G260" s="238">
        <f t="shared" ref="G260" si="100">TRUNC(G256*G258*G259,2)</f>
        <v>0</v>
      </c>
      <c r="H260" s="238">
        <f t="shared" ref="H260" si="101">TRUNC(H256*H258*H259,2)</f>
        <v>0</v>
      </c>
      <c r="I260" s="238">
        <f t="shared" ref="I260" si="102">TRUNC(I256*I258*I259,2)</f>
        <v>0</v>
      </c>
      <c r="K260" s="238">
        <f>C260+D260+E260+F260+G260+H260+I260</f>
        <v>0</v>
      </c>
      <c r="L260" s="255"/>
      <c r="M260" s="255"/>
      <c r="N260" s="255"/>
      <c r="O260" s="255"/>
      <c r="P260" s="255"/>
      <c r="Q260" s="255"/>
      <c r="R260" s="255"/>
      <c r="S260" s="255"/>
      <c r="T260" s="255"/>
      <c r="U260" s="255"/>
      <c r="V260" s="255"/>
      <c r="W260" s="255"/>
      <c r="X260" s="255"/>
      <c r="Y260" s="255"/>
      <c r="Z260" s="255"/>
      <c r="AA260" s="255"/>
      <c r="AB260" s="255"/>
      <c r="AC260" s="255"/>
      <c r="AD260" s="255"/>
      <c r="AE260" s="255"/>
      <c r="AF260" s="255"/>
      <c r="AG260" s="255"/>
      <c r="AH260" s="255"/>
      <c r="AI260" s="255"/>
      <c r="AJ260" s="255"/>
      <c r="AK260" s="255"/>
      <c r="AL260" s="255"/>
      <c r="AM260" s="255"/>
      <c r="AN260" s="255"/>
      <c r="AO260" s="255"/>
      <c r="AP260" s="255"/>
      <c r="AQ260" s="255"/>
      <c r="AR260" s="255"/>
      <c r="AS260" s="255"/>
      <c r="AT260" s="255"/>
      <c r="AU260" s="255"/>
      <c r="AV260" s="255"/>
      <c r="AW260" s="255"/>
      <c r="AX260" s="255"/>
      <c r="AY260" s="255"/>
      <c r="AZ260" s="255"/>
      <c r="BA260" s="255"/>
      <c r="BB260" s="255"/>
      <c r="BC260" s="255"/>
      <c r="BD260" s="255"/>
      <c r="BE260" s="255"/>
      <c r="BF260" s="255"/>
      <c r="BG260" s="255"/>
      <c r="BH260" s="255"/>
      <c r="BI260" s="255"/>
      <c r="BJ260" s="255"/>
      <c r="BK260" s="255"/>
      <c r="BL260" s="255"/>
      <c r="BM260" s="255"/>
      <c r="BN260" s="255"/>
      <c r="BO260" s="255"/>
      <c r="BP260" s="255"/>
      <c r="BQ260" s="255"/>
      <c r="BR260" s="255"/>
      <c r="BS260" s="255"/>
    </row>
    <row r="261" spans="1:71" x14ac:dyDescent="0.25">
      <c r="A261" s="255"/>
      <c r="B261" s="255"/>
      <c r="C261" s="255"/>
      <c r="D261" s="255"/>
      <c r="E261" s="255"/>
      <c r="F261" s="255"/>
      <c r="G261" s="255"/>
      <c r="H261" s="255"/>
      <c r="I261" s="255"/>
      <c r="J261" s="255"/>
      <c r="K261" s="255"/>
      <c r="L261" s="255"/>
      <c r="M261" s="255"/>
      <c r="N261" s="255"/>
      <c r="O261" s="255"/>
      <c r="P261" s="255"/>
      <c r="Q261" s="255"/>
      <c r="R261" s="255"/>
      <c r="S261" s="255"/>
      <c r="T261" s="255"/>
      <c r="U261" s="255"/>
      <c r="V261" s="255"/>
      <c r="W261" s="255"/>
      <c r="X261" s="255"/>
      <c r="Y261" s="255"/>
      <c r="Z261" s="255"/>
      <c r="AA261" s="255"/>
      <c r="AB261" s="255"/>
      <c r="AC261" s="255"/>
      <c r="AD261" s="255"/>
      <c r="AE261" s="255"/>
      <c r="AF261" s="255"/>
      <c r="AG261" s="255"/>
      <c r="AH261" s="255"/>
      <c r="AI261" s="255"/>
      <c r="AJ261" s="255"/>
      <c r="AK261" s="255"/>
      <c r="AL261" s="255"/>
      <c r="AM261" s="255"/>
      <c r="AN261" s="255"/>
      <c r="AO261" s="255"/>
      <c r="AP261" s="255"/>
      <c r="AQ261" s="255"/>
      <c r="AR261" s="255"/>
      <c r="AS261" s="255"/>
      <c r="AT261" s="255"/>
      <c r="AU261" s="255"/>
      <c r="AV261" s="255"/>
      <c r="AW261" s="255"/>
      <c r="AX261" s="255"/>
      <c r="AY261" s="255"/>
      <c r="AZ261" s="255"/>
      <c r="BA261" s="255"/>
      <c r="BB261" s="255"/>
      <c r="BC261" s="255"/>
      <c r="BD261" s="255"/>
      <c r="BE261" s="255"/>
      <c r="BF261" s="255"/>
      <c r="BG261" s="255"/>
      <c r="BH261" s="255"/>
      <c r="BI261" s="255"/>
      <c r="BJ261" s="255"/>
      <c r="BK261" s="255"/>
      <c r="BL261" s="255"/>
      <c r="BM261" s="255"/>
      <c r="BN261" s="255"/>
      <c r="BO261" s="255"/>
      <c r="BP261" s="255"/>
      <c r="BQ261" s="255"/>
      <c r="BR261" s="255"/>
      <c r="BS261" s="255"/>
    </row>
    <row r="262" spans="1:71" x14ac:dyDescent="0.25">
      <c r="A262" s="255"/>
      <c r="B262" s="239" t="s">
        <v>222</v>
      </c>
      <c r="C262" s="240"/>
      <c r="D262" s="240"/>
      <c r="E262" s="255"/>
      <c r="F262" s="255"/>
      <c r="G262" s="255"/>
      <c r="H262" s="255"/>
      <c r="I262" s="255"/>
      <c r="J262" s="255"/>
      <c r="K262" s="255"/>
      <c r="L262" s="255"/>
      <c r="M262" s="255"/>
      <c r="N262" s="255"/>
      <c r="O262" s="255"/>
      <c r="P262" s="255"/>
      <c r="Q262" s="255"/>
      <c r="R262" s="255"/>
      <c r="S262" s="255"/>
      <c r="T262" s="255"/>
      <c r="U262" s="255"/>
      <c r="V262" s="255"/>
      <c r="W262" s="255"/>
      <c r="X262" s="255"/>
      <c r="Y262" s="255"/>
      <c r="Z262" s="255"/>
      <c r="AA262" s="255"/>
      <c r="AB262" s="255"/>
      <c r="AC262" s="255"/>
      <c r="AD262" s="255"/>
      <c r="AE262" s="255"/>
      <c r="AF262" s="255"/>
      <c r="AG262" s="255"/>
      <c r="AH262" s="255"/>
      <c r="AI262" s="255"/>
      <c r="AJ262" s="255"/>
      <c r="AK262" s="255"/>
      <c r="AL262" s="255"/>
      <c r="AM262" s="255"/>
      <c r="AN262" s="255"/>
      <c r="AO262" s="255"/>
      <c r="AP262" s="255"/>
      <c r="AQ262" s="255"/>
      <c r="AR262" s="255"/>
      <c r="AS262" s="255"/>
      <c r="AT262" s="255"/>
      <c r="AU262" s="255"/>
      <c r="AV262" s="255"/>
      <c r="AW262" s="255"/>
      <c r="AX262" s="255"/>
      <c r="AY262" s="255"/>
      <c r="AZ262" s="255"/>
      <c r="BA262" s="255"/>
      <c r="BB262" s="255"/>
      <c r="BC262" s="255"/>
      <c r="BD262" s="255"/>
      <c r="BE262" s="255"/>
      <c r="BF262" s="255"/>
      <c r="BG262" s="255"/>
      <c r="BH262" s="255"/>
      <c r="BI262" s="255"/>
      <c r="BJ262" s="255"/>
      <c r="BK262" s="255"/>
      <c r="BL262" s="255"/>
      <c r="BM262" s="255"/>
      <c r="BN262" s="255"/>
      <c r="BO262" s="255"/>
      <c r="BP262" s="255"/>
      <c r="BQ262" s="255"/>
      <c r="BR262" s="255"/>
      <c r="BS262" s="255"/>
    </row>
    <row r="263" spans="1:71" x14ac:dyDescent="0.25">
      <c r="A263" s="255"/>
      <c r="B263" s="239" t="s">
        <v>446</v>
      </c>
      <c r="C263" s="239" t="s">
        <v>160</v>
      </c>
      <c r="D263" s="239" t="s">
        <v>45</v>
      </c>
      <c r="E263" s="239" t="s">
        <v>225</v>
      </c>
      <c r="F263" s="239" t="s">
        <v>226</v>
      </c>
      <c r="G263" s="239" t="s">
        <v>428</v>
      </c>
      <c r="H263" s="239" t="s">
        <v>227</v>
      </c>
      <c r="I263" s="239" t="s">
        <v>427</v>
      </c>
      <c r="J263" s="240"/>
      <c r="K263" s="239" t="s">
        <v>209</v>
      </c>
      <c r="L263" s="239" t="s">
        <v>229</v>
      </c>
      <c r="M263" s="239" t="s">
        <v>230</v>
      </c>
      <c r="N263" s="255"/>
      <c r="O263" s="255"/>
      <c r="P263" s="255"/>
      <c r="Q263" s="255"/>
      <c r="R263" s="255"/>
      <c r="S263" s="255"/>
      <c r="T263" s="255"/>
      <c r="U263" s="255"/>
      <c r="V263" s="255"/>
      <c r="W263" s="255"/>
      <c r="X263" s="255"/>
      <c r="Y263" s="255"/>
      <c r="Z263" s="255"/>
      <c r="AA263" s="255"/>
      <c r="AB263" s="255"/>
      <c r="AC263" s="255"/>
      <c r="AD263" s="255"/>
      <c r="AE263" s="255"/>
      <c r="AF263" s="255"/>
      <c r="AG263" s="255"/>
      <c r="AH263" s="255"/>
      <c r="AI263" s="255"/>
      <c r="AJ263" s="255"/>
      <c r="AK263" s="255"/>
      <c r="AL263" s="255"/>
      <c r="AM263" s="255"/>
      <c r="AN263" s="255"/>
      <c r="AO263" s="255"/>
      <c r="AP263" s="255"/>
      <c r="AQ263" s="255"/>
      <c r="AR263" s="255"/>
      <c r="AS263" s="255"/>
      <c r="AT263" s="255"/>
      <c r="AU263" s="255"/>
      <c r="AV263" s="255"/>
      <c r="AW263" s="255"/>
      <c r="AX263" s="255"/>
      <c r="AY263" s="255"/>
      <c r="AZ263" s="255"/>
      <c r="BA263" s="255"/>
      <c r="BB263" s="255"/>
      <c r="BC263" s="255"/>
      <c r="BD263" s="255"/>
      <c r="BE263" s="255"/>
      <c r="BF263" s="255"/>
      <c r="BG263" s="255"/>
      <c r="BH263" s="255"/>
      <c r="BI263" s="255"/>
      <c r="BJ263" s="255"/>
      <c r="BK263" s="255"/>
      <c r="BL263" s="255"/>
      <c r="BM263" s="255"/>
      <c r="BN263" s="255"/>
      <c r="BO263" s="255"/>
      <c r="BP263" s="255"/>
      <c r="BQ263" s="255"/>
      <c r="BR263" s="255"/>
      <c r="BS263" s="255"/>
    </row>
    <row r="264" spans="1:71" x14ac:dyDescent="0.25">
      <c r="A264" s="255"/>
      <c r="B264" s="239" t="s">
        <v>223</v>
      </c>
      <c r="C264" s="273">
        <f>E$207</f>
        <v>0</v>
      </c>
      <c r="D264" s="273">
        <f>E$206</f>
        <v>0</v>
      </c>
      <c r="E264" s="272">
        <v>9.81</v>
      </c>
      <c r="F264" s="271"/>
      <c r="G264" s="271"/>
      <c r="H264" s="271"/>
      <c r="I264" s="287">
        <f>K240</f>
        <v>0</v>
      </c>
      <c r="J264" s="238"/>
      <c r="K264" s="238">
        <f>TRUNC(C264*D264*E264+I264,2)</f>
        <v>0</v>
      </c>
      <c r="L264" s="243">
        <f>G220</f>
        <v>0</v>
      </c>
      <c r="N264" s="255"/>
      <c r="O264" s="255"/>
      <c r="P264" s="255"/>
      <c r="Q264" s="255"/>
      <c r="R264" s="255"/>
      <c r="S264" s="255"/>
      <c r="T264" s="255"/>
      <c r="U264" s="255"/>
      <c r="V264" s="255"/>
      <c r="W264" s="255"/>
      <c r="X264" s="255"/>
      <c r="Y264" s="255"/>
      <c r="Z264" s="255"/>
      <c r="AA264" s="255"/>
      <c r="AB264" s="255"/>
      <c r="AC264" s="255"/>
      <c r="AD264" s="255"/>
      <c r="AE264" s="255"/>
      <c r="AF264" s="255"/>
      <c r="AG264" s="255"/>
      <c r="AH264" s="255"/>
      <c r="AI264" s="255"/>
      <c r="AJ264" s="255"/>
      <c r="AK264" s="255"/>
      <c r="AL264" s="255"/>
      <c r="AM264" s="255"/>
      <c r="AN264" s="255"/>
      <c r="AO264" s="255"/>
      <c r="AP264" s="255"/>
      <c r="AQ264" s="255"/>
      <c r="AR264" s="255"/>
      <c r="AS264" s="255"/>
      <c r="AT264" s="255"/>
      <c r="AU264" s="255"/>
      <c r="AV264" s="255"/>
      <c r="AW264" s="255"/>
      <c r="AX264" s="255"/>
      <c r="AY264" s="255"/>
      <c r="AZ264" s="255"/>
      <c r="BA264" s="255"/>
      <c r="BB264" s="255"/>
      <c r="BC264" s="255"/>
      <c r="BD264" s="255"/>
      <c r="BE264" s="255"/>
      <c r="BF264" s="255"/>
      <c r="BG264" s="255"/>
      <c r="BH264" s="255"/>
      <c r="BI264" s="255"/>
      <c r="BJ264" s="255"/>
      <c r="BK264" s="255"/>
      <c r="BL264" s="255"/>
      <c r="BM264" s="255"/>
      <c r="BN264" s="255"/>
      <c r="BO264" s="255"/>
      <c r="BP264" s="255"/>
      <c r="BQ264" s="255"/>
      <c r="BR264" s="255"/>
      <c r="BS264" s="255"/>
    </row>
    <row r="265" spans="1:71" x14ac:dyDescent="0.25">
      <c r="A265" s="255"/>
      <c r="B265" s="239" t="s">
        <v>224</v>
      </c>
      <c r="C265" s="273">
        <f t="shared" ref="C265:C267" si="103">E$207</f>
        <v>0</v>
      </c>
      <c r="D265" s="273">
        <f t="shared" ref="D265:D267" si="104">E$206</f>
        <v>0</v>
      </c>
      <c r="E265" s="272">
        <v>9.81</v>
      </c>
      <c r="F265" s="271"/>
      <c r="G265" s="271"/>
      <c r="H265" s="271"/>
      <c r="I265" s="287">
        <f>K230</f>
        <v>0</v>
      </c>
      <c r="J265" s="238"/>
      <c r="K265" s="238">
        <f>TRUNC(C265*D265*E265+I265,2)</f>
        <v>0</v>
      </c>
      <c r="L265" s="243">
        <f>G220</f>
        <v>0</v>
      </c>
      <c r="N265" s="255"/>
      <c r="O265" s="255"/>
      <c r="P265" s="255"/>
      <c r="Q265" s="255"/>
      <c r="R265" s="255"/>
      <c r="S265" s="255"/>
      <c r="T265" s="255"/>
      <c r="U265" s="255"/>
      <c r="V265" s="255"/>
      <c r="W265" s="255"/>
      <c r="X265" s="255"/>
      <c r="Y265" s="255"/>
      <c r="Z265" s="255"/>
      <c r="AA265" s="255"/>
      <c r="AB265" s="255"/>
      <c r="AC265" s="255"/>
      <c r="AD265" s="255"/>
      <c r="AE265" s="255"/>
      <c r="AF265" s="255"/>
      <c r="AG265" s="255"/>
      <c r="AH265" s="255"/>
      <c r="AI265" s="255"/>
      <c r="AJ265" s="255"/>
      <c r="AK265" s="255"/>
      <c r="AL265" s="255"/>
      <c r="AM265" s="255"/>
      <c r="AN265" s="255"/>
      <c r="AO265" s="255"/>
      <c r="AP265" s="255"/>
      <c r="AQ265" s="255"/>
      <c r="AR265" s="255"/>
      <c r="AS265" s="255"/>
      <c r="AT265" s="255"/>
      <c r="AU265" s="255"/>
      <c r="AV265" s="255"/>
      <c r="AW265" s="255"/>
      <c r="AX265" s="255"/>
      <c r="AY265" s="255"/>
      <c r="AZ265" s="255"/>
      <c r="BA265" s="255"/>
      <c r="BB265" s="255"/>
      <c r="BC265" s="255"/>
      <c r="BD265" s="255"/>
      <c r="BE265" s="255"/>
      <c r="BF265" s="255"/>
      <c r="BG265" s="255"/>
      <c r="BH265" s="255"/>
      <c r="BI265" s="255"/>
      <c r="BJ265" s="255"/>
      <c r="BK265" s="255"/>
      <c r="BL265" s="255"/>
      <c r="BM265" s="255"/>
      <c r="BN265" s="255"/>
      <c r="BO265" s="255"/>
      <c r="BP265" s="255"/>
      <c r="BQ265" s="255"/>
      <c r="BR265" s="255"/>
      <c r="BS265" s="255"/>
    </row>
    <row r="266" spans="1:71" x14ac:dyDescent="0.25">
      <c r="A266" s="255"/>
      <c r="B266" s="239" t="s">
        <v>237</v>
      </c>
      <c r="C266" s="273">
        <f t="shared" si="103"/>
        <v>0</v>
      </c>
      <c r="D266" s="273">
        <f t="shared" si="104"/>
        <v>0</v>
      </c>
      <c r="E266" s="272">
        <v>9.81</v>
      </c>
      <c r="F266" s="333">
        <f>IF(E207=0,0.2,IF(E207=0.1,0.5,IF(E207=0.2,0.7,IF(E207=0.3,0.8,IF(E207=0.4,0.85,IF(E207=0.5,0.9))))))</f>
        <v>0.2</v>
      </c>
      <c r="G266" s="336">
        <f>G221</f>
        <v>0</v>
      </c>
      <c r="H266" s="243">
        <f>F266*G266</f>
        <v>0</v>
      </c>
      <c r="I266" s="287">
        <f>K260</f>
        <v>0</v>
      </c>
      <c r="J266" s="238"/>
      <c r="K266" s="238">
        <f>TRUNC(C266*(D266*E266-H266)+I266,2)</f>
        <v>0</v>
      </c>
      <c r="L266" s="243">
        <f>G219</f>
        <v>0</v>
      </c>
      <c r="N266" s="255"/>
      <c r="O266" s="255"/>
      <c r="P266" s="255"/>
      <c r="Q266" s="255"/>
      <c r="R266" s="255"/>
      <c r="S266" s="255"/>
      <c r="T266" s="255"/>
      <c r="U266" s="255"/>
      <c r="V266" s="255"/>
      <c r="W266" s="255"/>
      <c r="X266" s="255"/>
      <c r="Y266" s="255"/>
      <c r="Z266" s="255"/>
      <c r="AA266" s="255"/>
      <c r="AB266" s="255"/>
      <c r="AC266" s="255"/>
      <c r="AD266" s="255"/>
      <c r="AE266" s="255"/>
      <c r="AF266" s="255"/>
      <c r="AG266" s="255"/>
      <c r="AH266" s="255"/>
      <c r="AI266" s="255"/>
      <c r="AJ266" s="255"/>
      <c r="AK266" s="255"/>
      <c r="AL266" s="255"/>
      <c r="AM266" s="255"/>
      <c r="AN266" s="255"/>
      <c r="AO266" s="255"/>
      <c r="AP266" s="255"/>
      <c r="AQ266" s="255"/>
      <c r="AR266" s="255"/>
      <c r="AS266" s="255"/>
      <c r="AT266" s="255"/>
      <c r="AU266" s="255"/>
      <c r="AV266" s="255"/>
      <c r="AW266" s="255"/>
      <c r="AX266" s="255"/>
      <c r="AY266" s="255"/>
      <c r="AZ266" s="255"/>
      <c r="BA266" s="255"/>
      <c r="BB266" s="255"/>
      <c r="BC266" s="255"/>
      <c r="BD266" s="255"/>
      <c r="BE266" s="255"/>
      <c r="BF266" s="255"/>
      <c r="BG266" s="255"/>
      <c r="BH266" s="255"/>
      <c r="BI266" s="255"/>
      <c r="BJ266" s="255"/>
      <c r="BK266" s="255"/>
      <c r="BL266" s="255"/>
      <c r="BM266" s="255"/>
      <c r="BN266" s="255"/>
      <c r="BO266" s="255"/>
      <c r="BP266" s="255"/>
      <c r="BQ266" s="255"/>
      <c r="BR266" s="255"/>
      <c r="BS266" s="255"/>
    </row>
    <row r="267" spans="1:71" x14ac:dyDescent="0.25">
      <c r="A267" s="255"/>
      <c r="B267" s="239" t="s">
        <v>238</v>
      </c>
      <c r="C267" s="273">
        <f t="shared" si="103"/>
        <v>0</v>
      </c>
      <c r="D267" s="273">
        <f t="shared" si="104"/>
        <v>0</v>
      </c>
      <c r="E267" s="272">
        <v>9.81</v>
      </c>
      <c r="F267" s="333">
        <f>IF(E207=0,0.2,IF(E207=0.1,0.5,IF(E207=0.2,0.7,IF(E207=0.3,0.8,IF(E207=0.4,0.85,IF(E207=0.5,0.9))))))</f>
        <v>0.2</v>
      </c>
      <c r="G267" s="336">
        <f>G221</f>
        <v>0</v>
      </c>
      <c r="H267" s="243">
        <f>F267*G267</f>
        <v>0</v>
      </c>
      <c r="I267" s="287">
        <f>K251</f>
        <v>0</v>
      </c>
      <c r="J267" s="238"/>
      <c r="K267" s="238">
        <f>TRUNC(C267*(D267*E267-H267)+I267,2)</f>
        <v>0</v>
      </c>
      <c r="L267" s="243">
        <f>G219</f>
        <v>0</v>
      </c>
      <c r="N267" s="255"/>
      <c r="O267" s="255"/>
      <c r="P267" s="255"/>
      <c r="Q267" s="255"/>
      <c r="R267" s="255"/>
      <c r="S267" s="255"/>
      <c r="T267" s="255"/>
      <c r="U267" s="255"/>
      <c r="V267" s="255"/>
      <c r="W267" s="255"/>
      <c r="X267" s="255"/>
      <c r="Y267" s="255"/>
      <c r="Z267" s="255"/>
      <c r="AA267" s="255"/>
      <c r="AB267" s="255"/>
      <c r="AC267" s="255"/>
      <c r="AD267" s="255"/>
      <c r="AE267" s="255"/>
      <c r="AF267" s="255"/>
      <c r="AG267" s="255"/>
      <c r="AH267" s="255"/>
      <c r="AI267" s="255"/>
      <c r="AJ267" s="255"/>
      <c r="AK267" s="255"/>
      <c r="AL267" s="255"/>
      <c r="AM267" s="255"/>
      <c r="AN267" s="255"/>
      <c r="AO267" s="255"/>
      <c r="AP267" s="255"/>
      <c r="AQ267" s="255"/>
      <c r="AR267" s="255"/>
      <c r="AS267" s="255"/>
      <c r="AT267" s="255"/>
      <c r="AU267" s="255"/>
      <c r="AV267" s="255"/>
      <c r="AW267" s="255"/>
      <c r="AX267" s="255"/>
      <c r="AY267" s="255"/>
      <c r="AZ267" s="255"/>
      <c r="BA267" s="255"/>
      <c r="BB267" s="255"/>
      <c r="BC267" s="255"/>
      <c r="BD267" s="255"/>
      <c r="BE267" s="255"/>
      <c r="BF267" s="255"/>
      <c r="BG267" s="255"/>
      <c r="BH267" s="255"/>
      <c r="BI267" s="255"/>
      <c r="BJ267" s="255"/>
      <c r="BK267" s="255"/>
      <c r="BL267" s="255"/>
      <c r="BM267" s="255"/>
      <c r="BN267" s="255"/>
      <c r="BO267" s="255"/>
      <c r="BP267" s="255"/>
      <c r="BQ267" s="255"/>
      <c r="BR267" s="255"/>
      <c r="BS267" s="255"/>
    </row>
    <row r="268" spans="1:71" x14ac:dyDescent="0.25">
      <c r="A268" s="255"/>
      <c r="B268" s="255"/>
      <c r="C268" s="255"/>
      <c r="D268" s="239" t="s">
        <v>233</v>
      </c>
      <c r="E268" s="239" t="s">
        <v>45</v>
      </c>
      <c r="F268" s="239" t="s">
        <v>225</v>
      </c>
      <c r="G268" s="239" t="s">
        <v>447</v>
      </c>
      <c r="H268" s="239" t="s">
        <v>448</v>
      </c>
      <c r="I268" s="239" t="s">
        <v>209</v>
      </c>
      <c r="J268" s="240"/>
      <c r="K268" s="239" t="s">
        <v>236</v>
      </c>
      <c r="L268" s="240" t="s">
        <v>230</v>
      </c>
      <c r="M268" s="255"/>
      <c r="N268" s="255"/>
      <c r="O268" s="255"/>
      <c r="P268" s="255"/>
      <c r="Q268" s="255"/>
      <c r="R268" s="255"/>
      <c r="S268" s="255"/>
      <c r="T268" s="255"/>
      <c r="U268" s="255"/>
      <c r="V268" s="255"/>
      <c r="W268" s="255"/>
      <c r="X268" s="255"/>
      <c r="Y268" s="255"/>
      <c r="Z268" s="255"/>
      <c r="AA268" s="255"/>
      <c r="AB268" s="255"/>
      <c r="AC268" s="255"/>
      <c r="AD268" s="255"/>
      <c r="AE268" s="255"/>
      <c r="AF268" s="255"/>
      <c r="AG268" s="255"/>
      <c r="AH268" s="255"/>
      <c r="AI268" s="255"/>
      <c r="AJ268" s="255"/>
      <c r="AK268" s="255"/>
      <c r="AL268" s="255"/>
      <c r="AM268" s="255"/>
      <c r="AN268" s="255"/>
      <c r="AO268" s="255"/>
      <c r="AP268" s="255"/>
      <c r="AQ268" s="255"/>
      <c r="AR268" s="255"/>
      <c r="AS268" s="255"/>
      <c r="AT268" s="255"/>
      <c r="AU268" s="255"/>
      <c r="AV268" s="255"/>
      <c r="AW268" s="255"/>
      <c r="AX268" s="255"/>
      <c r="AY268" s="255"/>
      <c r="AZ268" s="255"/>
      <c r="BA268" s="255"/>
      <c r="BB268" s="255"/>
      <c r="BC268" s="255"/>
      <c r="BD268" s="255"/>
      <c r="BE268" s="255"/>
      <c r="BF268" s="255"/>
      <c r="BG268" s="255"/>
      <c r="BH268" s="255"/>
      <c r="BI268" s="255"/>
      <c r="BJ268" s="255"/>
      <c r="BK268" s="255"/>
      <c r="BL268" s="255"/>
      <c r="BM268" s="255"/>
      <c r="BN268" s="255"/>
      <c r="BO268" s="255"/>
      <c r="BP268" s="255"/>
      <c r="BQ268" s="255"/>
      <c r="BR268" s="255"/>
      <c r="BS268" s="255"/>
    </row>
    <row r="269" spans="1:71" x14ac:dyDescent="0.25">
      <c r="A269" s="255"/>
      <c r="B269" s="239" t="s">
        <v>232</v>
      </c>
      <c r="C269" s="240"/>
      <c r="D269" s="273">
        <f>E210</f>
        <v>0</v>
      </c>
      <c r="E269" s="273">
        <f>D267</f>
        <v>0</v>
      </c>
      <c r="F269" s="272">
        <v>9.81</v>
      </c>
      <c r="G269" s="275"/>
      <c r="H269" s="287">
        <f>K232</f>
        <v>0</v>
      </c>
      <c r="I269" s="243">
        <f>TRUNC(D269*E269*F269+H269,1)</f>
        <v>0</v>
      </c>
      <c r="J269" s="206"/>
      <c r="K269" s="243">
        <f>TRUNC(G220*E208,2)</f>
        <v>0</v>
      </c>
      <c r="L269" s="238"/>
      <c r="M269" s="255"/>
      <c r="N269" s="255"/>
      <c r="O269" s="255"/>
      <c r="P269" s="255"/>
      <c r="Q269" s="255"/>
      <c r="R269" s="255"/>
      <c r="S269" s="255"/>
      <c r="T269" s="255"/>
      <c r="U269" s="255"/>
      <c r="V269" s="255"/>
      <c r="W269" s="255"/>
      <c r="X269" s="255"/>
      <c r="Y269" s="255"/>
      <c r="Z269" s="255"/>
      <c r="AA269" s="255"/>
      <c r="AB269" s="255"/>
      <c r="AC269" s="255"/>
      <c r="AD269" s="255"/>
      <c r="AE269" s="255"/>
      <c r="AF269" s="255"/>
      <c r="AG269" s="255"/>
      <c r="AH269" s="255"/>
      <c r="AI269" s="255"/>
      <c r="AJ269" s="255"/>
      <c r="AK269" s="255"/>
      <c r="AL269" s="255"/>
      <c r="AM269" s="255"/>
      <c r="AN269" s="255"/>
      <c r="AO269" s="255"/>
      <c r="AP269" s="255"/>
      <c r="AQ269" s="255"/>
      <c r="AR269" s="255"/>
      <c r="AS269" s="255"/>
      <c r="AT269" s="255"/>
      <c r="AU269" s="255"/>
      <c r="AV269" s="255"/>
      <c r="AW269" s="255"/>
      <c r="AX269" s="255"/>
      <c r="AY269" s="255"/>
      <c r="AZ269" s="255"/>
      <c r="BA269" s="255"/>
      <c r="BB269" s="255"/>
      <c r="BC269" s="255"/>
      <c r="BD269" s="255"/>
      <c r="BE269" s="255"/>
      <c r="BF269" s="255"/>
      <c r="BG269" s="255"/>
      <c r="BH269" s="255"/>
      <c r="BI269" s="255"/>
      <c r="BJ269" s="255"/>
      <c r="BK269" s="255"/>
      <c r="BL269" s="255"/>
      <c r="BM269" s="255"/>
      <c r="BN269" s="255"/>
      <c r="BO269" s="255"/>
      <c r="BP269" s="255"/>
      <c r="BQ269" s="255"/>
      <c r="BR269" s="255"/>
      <c r="BS269" s="255"/>
    </row>
    <row r="270" spans="1:71" x14ac:dyDescent="0.25">
      <c r="A270" s="255"/>
      <c r="B270" s="239" t="s">
        <v>231</v>
      </c>
      <c r="C270" s="240"/>
      <c r="D270" s="273">
        <f>E209</f>
        <v>0</v>
      </c>
      <c r="E270" s="273">
        <f>D266</f>
        <v>0</v>
      </c>
      <c r="F270" s="272">
        <v>9.81</v>
      </c>
      <c r="G270" s="287">
        <f>K242</f>
        <v>0</v>
      </c>
      <c r="H270" s="275"/>
      <c r="I270" s="243">
        <f>TRUNC(D270*E270*F270+G270,1)</f>
        <v>0</v>
      </c>
      <c r="J270" s="206"/>
      <c r="K270" s="243">
        <f>TRUNC(G220*E208,2)</f>
        <v>0</v>
      </c>
      <c r="L270" s="238"/>
      <c r="M270" s="255"/>
      <c r="N270" s="255"/>
      <c r="O270" s="255"/>
      <c r="P270" s="255"/>
      <c r="Q270" s="255"/>
      <c r="R270" s="255"/>
      <c r="S270" s="255"/>
      <c r="T270" s="255"/>
      <c r="U270" s="255"/>
      <c r="V270" s="255"/>
      <c r="W270" s="255"/>
      <c r="X270" s="255"/>
      <c r="Y270" s="255"/>
      <c r="Z270" s="255"/>
      <c r="AA270" s="255"/>
      <c r="AB270" s="255"/>
      <c r="AC270" s="255"/>
      <c r="AD270" s="255"/>
      <c r="AE270" s="255"/>
      <c r="AF270" s="255"/>
      <c r="AG270" s="255"/>
      <c r="AH270" s="255"/>
      <c r="AI270" s="255"/>
      <c r="AJ270" s="255"/>
      <c r="AK270" s="255"/>
      <c r="AL270" s="255"/>
      <c r="AM270" s="255"/>
      <c r="AN270" s="255"/>
      <c r="AO270" s="255"/>
      <c r="AP270" s="255"/>
      <c r="AQ270" s="255"/>
      <c r="AR270" s="255"/>
      <c r="AS270" s="255"/>
      <c r="AT270" s="255"/>
      <c r="AU270" s="255"/>
      <c r="AV270" s="255"/>
      <c r="AW270" s="255"/>
      <c r="AX270" s="255"/>
      <c r="AY270" s="255"/>
      <c r="AZ270" s="255"/>
      <c r="BA270" s="255"/>
      <c r="BB270" s="255"/>
      <c r="BC270" s="255"/>
      <c r="BD270" s="255"/>
      <c r="BE270" s="255"/>
      <c r="BF270" s="255"/>
      <c r="BG270" s="255"/>
      <c r="BH270" s="255"/>
      <c r="BI270" s="255"/>
      <c r="BJ270" s="255"/>
      <c r="BK270" s="255"/>
      <c r="BL270" s="255"/>
      <c r="BM270" s="255"/>
      <c r="BN270" s="255"/>
      <c r="BO270" s="255"/>
      <c r="BP270" s="255"/>
      <c r="BQ270" s="255"/>
      <c r="BR270" s="255"/>
      <c r="BS270" s="255"/>
    </row>
    <row r="271" spans="1:71" x14ac:dyDescent="0.25">
      <c r="A271" s="255"/>
      <c r="B271" s="255"/>
      <c r="C271" s="255"/>
      <c r="D271" s="255"/>
      <c r="E271" s="255"/>
      <c r="F271" s="255"/>
      <c r="G271" s="255"/>
      <c r="H271" s="255"/>
      <c r="I271" s="255"/>
      <c r="J271" s="255"/>
      <c r="K271" s="255"/>
      <c r="L271" s="255"/>
      <c r="M271" s="255"/>
      <c r="N271" s="255"/>
      <c r="O271" s="255"/>
      <c r="P271" s="255"/>
      <c r="Q271" s="255"/>
      <c r="R271" s="255"/>
      <c r="S271" s="255"/>
      <c r="T271" s="255"/>
      <c r="U271" s="255"/>
      <c r="V271" s="255"/>
      <c r="W271" s="255"/>
      <c r="X271" s="255"/>
      <c r="Y271" s="255"/>
      <c r="Z271" s="255"/>
      <c r="AA271" s="255"/>
      <c r="AB271" s="255"/>
      <c r="AC271" s="255"/>
      <c r="AD271" s="255"/>
      <c r="AE271" s="255"/>
      <c r="AF271" s="255"/>
      <c r="AG271" s="255"/>
      <c r="AH271" s="255"/>
      <c r="AI271" s="255"/>
      <c r="AJ271" s="255"/>
      <c r="AK271" s="255"/>
      <c r="AL271" s="255"/>
      <c r="AM271" s="255"/>
      <c r="AN271" s="255"/>
      <c r="AO271" s="255"/>
      <c r="AP271" s="255"/>
      <c r="AQ271" s="255"/>
      <c r="AR271" s="255"/>
      <c r="AS271" s="255"/>
      <c r="AT271" s="255"/>
      <c r="AU271" s="255"/>
      <c r="AV271" s="255"/>
      <c r="AW271" s="255"/>
      <c r="AX271" s="255"/>
      <c r="AY271" s="255"/>
      <c r="AZ271" s="255"/>
      <c r="BA271" s="255"/>
      <c r="BB271" s="255"/>
      <c r="BC271" s="255"/>
      <c r="BD271" s="255"/>
      <c r="BE271" s="255"/>
      <c r="BF271" s="255"/>
      <c r="BG271" s="255"/>
      <c r="BH271" s="255"/>
      <c r="BI271" s="255"/>
      <c r="BJ271" s="255"/>
      <c r="BK271" s="255"/>
      <c r="BL271" s="255"/>
      <c r="BM271" s="255"/>
      <c r="BN271" s="255"/>
      <c r="BO271" s="255"/>
      <c r="BP271" s="255"/>
      <c r="BQ271" s="255"/>
      <c r="BR271" s="255"/>
      <c r="BS271" s="255"/>
    </row>
    <row r="272" spans="1:71" x14ac:dyDescent="0.25">
      <c r="A272" s="255"/>
      <c r="B272" s="255"/>
      <c r="C272" s="255"/>
      <c r="D272" s="255"/>
      <c r="E272" s="255"/>
      <c r="F272" s="255"/>
      <c r="G272" s="255"/>
      <c r="H272" s="255"/>
      <c r="I272" s="255"/>
      <c r="J272" s="255"/>
      <c r="K272" s="255"/>
      <c r="L272" s="255"/>
      <c r="M272" s="255"/>
      <c r="N272" s="255"/>
      <c r="O272" s="255"/>
      <c r="P272" s="255"/>
      <c r="Q272" s="255"/>
      <c r="R272" s="255"/>
      <c r="S272" s="255"/>
      <c r="T272" s="255"/>
      <c r="U272" s="255"/>
      <c r="V272" s="255"/>
      <c r="W272" s="255"/>
      <c r="X272" s="255"/>
      <c r="Y272" s="255"/>
      <c r="Z272" s="255"/>
      <c r="AA272" s="255"/>
      <c r="AB272" s="255"/>
      <c r="AC272" s="255"/>
      <c r="AD272" s="255"/>
      <c r="AE272" s="255"/>
      <c r="AF272" s="255"/>
      <c r="AG272" s="255"/>
      <c r="AH272" s="255"/>
      <c r="AI272" s="255"/>
      <c r="AJ272" s="255"/>
      <c r="AK272" s="255"/>
      <c r="AL272" s="255"/>
      <c r="AM272" s="255"/>
      <c r="AN272" s="255"/>
      <c r="AO272" s="255"/>
      <c r="AP272" s="255"/>
      <c r="AQ272" s="255"/>
      <c r="AR272" s="255"/>
      <c r="AS272" s="255"/>
      <c r="AT272" s="255"/>
      <c r="AU272" s="255"/>
      <c r="AV272" s="255"/>
      <c r="AW272" s="255"/>
      <c r="AX272" s="255"/>
      <c r="AY272" s="255"/>
      <c r="AZ272" s="255"/>
      <c r="BA272" s="255"/>
      <c r="BB272" s="255"/>
      <c r="BC272" s="255"/>
      <c r="BD272" s="255"/>
      <c r="BE272" s="255"/>
      <c r="BF272" s="255"/>
      <c r="BG272" s="255"/>
      <c r="BH272" s="255"/>
      <c r="BI272" s="255"/>
      <c r="BJ272" s="255"/>
      <c r="BK272" s="255"/>
      <c r="BL272" s="255"/>
      <c r="BM272" s="255"/>
      <c r="BN272" s="255"/>
      <c r="BO272" s="255"/>
      <c r="BP272" s="255"/>
      <c r="BQ272" s="255"/>
      <c r="BR272" s="255"/>
      <c r="BS272" s="255"/>
    </row>
    <row r="273" spans="1:71" x14ac:dyDescent="0.25">
      <c r="A273" s="255"/>
      <c r="B273" s="255"/>
      <c r="C273" s="255"/>
      <c r="D273" s="255"/>
      <c r="E273" s="255"/>
      <c r="F273" s="255"/>
      <c r="G273" s="255"/>
      <c r="H273" s="255"/>
      <c r="I273" s="255"/>
      <c r="J273" s="255"/>
      <c r="K273" s="255"/>
      <c r="L273" s="255"/>
      <c r="M273" s="255"/>
      <c r="N273" s="255"/>
      <c r="O273" s="255"/>
      <c r="P273" s="255"/>
      <c r="Q273" s="255"/>
      <c r="R273" s="255"/>
      <c r="S273" s="255"/>
      <c r="T273" s="255"/>
      <c r="U273" s="255"/>
      <c r="V273" s="255"/>
      <c r="W273" s="255"/>
      <c r="X273" s="255"/>
      <c r="Y273" s="255"/>
      <c r="Z273" s="255"/>
      <c r="AA273" s="255"/>
      <c r="AB273" s="255"/>
      <c r="AC273" s="255"/>
      <c r="AD273" s="255"/>
      <c r="AE273" s="255"/>
      <c r="AF273" s="255"/>
      <c r="AG273" s="255"/>
      <c r="AH273" s="255"/>
      <c r="AI273" s="255"/>
      <c r="AJ273" s="255"/>
      <c r="AK273" s="255"/>
      <c r="AL273" s="255"/>
      <c r="AM273" s="255"/>
      <c r="AN273" s="255"/>
      <c r="AO273" s="255"/>
      <c r="AP273" s="255"/>
      <c r="AQ273" s="255"/>
      <c r="AR273" s="255"/>
      <c r="AS273" s="255"/>
      <c r="AT273" s="255"/>
      <c r="AU273" s="255"/>
      <c r="AV273" s="255"/>
      <c r="AW273" s="255"/>
      <c r="AX273" s="255"/>
      <c r="AY273" s="255"/>
      <c r="AZ273" s="255"/>
      <c r="BA273" s="255"/>
      <c r="BB273" s="255"/>
      <c r="BC273" s="255"/>
      <c r="BD273" s="255"/>
      <c r="BE273" s="255"/>
      <c r="BF273" s="255"/>
      <c r="BG273" s="255"/>
      <c r="BH273" s="255"/>
      <c r="BI273" s="255"/>
      <c r="BJ273" s="255"/>
      <c r="BK273" s="255"/>
      <c r="BL273" s="255"/>
      <c r="BM273" s="255"/>
      <c r="BN273" s="255"/>
      <c r="BO273" s="255"/>
      <c r="BP273" s="255"/>
      <c r="BQ273" s="255"/>
      <c r="BR273" s="255"/>
      <c r="BS273" s="255"/>
    </row>
    <row r="274" spans="1:71" x14ac:dyDescent="0.25">
      <c r="A274" s="255"/>
      <c r="B274" s="255"/>
      <c r="C274" s="255"/>
      <c r="D274" s="255"/>
      <c r="E274" s="255"/>
      <c r="F274" s="255"/>
      <c r="G274" s="255"/>
      <c r="H274" s="255"/>
      <c r="I274" s="255"/>
      <c r="J274" s="255"/>
      <c r="K274" s="255"/>
      <c r="L274" s="255"/>
      <c r="M274" s="255"/>
      <c r="N274" s="255"/>
      <c r="O274" s="255"/>
      <c r="P274" s="255"/>
      <c r="Q274" s="255"/>
      <c r="R274" s="255"/>
      <c r="S274" s="255"/>
      <c r="T274" s="255"/>
      <c r="U274" s="255"/>
      <c r="V274" s="255"/>
      <c r="W274" s="255"/>
      <c r="X274" s="255"/>
      <c r="Y274" s="255"/>
      <c r="Z274" s="255"/>
      <c r="AA274" s="255"/>
      <c r="AB274" s="255"/>
      <c r="AC274" s="255"/>
      <c r="AD274" s="255"/>
      <c r="AE274" s="255"/>
      <c r="AF274" s="255"/>
      <c r="AG274" s="255"/>
      <c r="AH274" s="255"/>
      <c r="AI274" s="255"/>
      <c r="AJ274" s="255"/>
      <c r="AK274" s="255"/>
      <c r="AL274" s="255"/>
      <c r="AM274" s="255"/>
      <c r="AN274" s="255"/>
      <c r="AO274" s="255"/>
      <c r="AP274" s="255"/>
      <c r="AQ274" s="255"/>
      <c r="AR274" s="255"/>
      <c r="AS274" s="255"/>
      <c r="AT274" s="255"/>
      <c r="AU274" s="255"/>
      <c r="AV274" s="255"/>
      <c r="AW274" s="255"/>
      <c r="AX274" s="255"/>
      <c r="AY274" s="255"/>
      <c r="AZ274" s="255"/>
      <c r="BA274" s="255"/>
      <c r="BB274" s="255"/>
      <c r="BC274" s="255"/>
      <c r="BD274" s="255"/>
      <c r="BE274" s="255"/>
      <c r="BF274" s="255"/>
      <c r="BG274" s="255"/>
      <c r="BH274" s="255"/>
      <c r="BI274" s="255"/>
      <c r="BJ274" s="255"/>
      <c r="BK274" s="255"/>
      <c r="BL274" s="255"/>
      <c r="BM274" s="255"/>
      <c r="BN274" s="255"/>
      <c r="BO274" s="255"/>
      <c r="BP274" s="255"/>
      <c r="BQ274" s="255"/>
      <c r="BR274" s="255"/>
      <c r="BS274" s="255"/>
    </row>
    <row r="275" spans="1:71" x14ac:dyDescent="0.25">
      <c r="A275" s="255"/>
      <c r="B275" s="255"/>
      <c r="C275" s="255"/>
      <c r="D275" s="255"/>
      <c r="E275" s="255"/>
      <c r="F275" s="255"/>
      <c r="G275" s="255"/>
      <c r="H275" s="255"/>
      <c r="I275" s="255"/>
      <c r="J275" s="255"/>
      <c r="K275" s="255"/>
      <c r="L275" s="255"/>
      <c r="M275" s="255"/>
      <c r="N275" s="255"/>
      <c r="O275" s="255"/>
      <c r="P275" s="255"/>
      <c r="Q275" s="255"/>
      <c r="R275" s="255"/>
      <c r="S275" s="255"/>
      <c r="T275" s="255"/>
      <c r="U275" s="255"/>
      <c r="V275" s="255"/>
      <c r="W275" s="255"/>
      <c r="X275" s="255"/>
      <c r="Y275" s="255"/>
      <c r="Z275" s="255"/>
      <c r="AA275" s="255"/>
      <c r="AB275" s="255"/>
      <c r="AC275" s="255"/>
      <c r="AD275" s="255"/>
      <c r="AE275" s="255"/>
      <c r="AF275" s="255"/>
      <c r="AG275" s="255"/>
      <c r="AH275" s="255"/>
      <c r="AI275" s="255"/>
      <c r="AJ275" s="255"/>
      <c r="AK275" s="255"/>
      <c r="AL275" s="255"/>
      <c r="AM275" s="255"/>
      <c r="AN275" s="255"/>
      <c r="AO275" s="255"/>
      <c r="AP275" s="255"/>
      <c r="AQ275" s="255"/>
      <c r="AR275" s="255"/>
      <c r="AS275" s="255"/>
      <c r="AT275" s="255"/>
      <c r="AU275" s="255"/>
      <c r="AV275" s="255"/>
      <c r="AW275" s="255"/>
      <c r="AX275" s="255"/>
      <c r="AY275" s="255"/>
      <c r="AZ275" s="255"/>
      <c r="BA275" s="255"/>
      <c r="BB275" s="255"/>
      <c r="BC275" s="255"/>
      <c r="BD275" s="255"/>
      <c r="BE275" s="255"/>
      <c r="BF275" s="255"/>
      <c r="BG275" s="255"/>
      <c r="BH275" s="255"/>
      <c r="BI275" s="255"/>
      <c r="BJ275" s="255"/>
      <c r="BK275" s="255"/>
      <c r="BL275" s="255"/>
      <c r="BM275" s="255"/>
      <c r="BN275" s="255"/>
      <c r="BO275" s="255"/>
      <c r="BP275" s="255"/>
      <c r="BQ275" s="255"/>
      <c r="BR275" s="255"/>
      <c r="BS275" s="255"/>
    </row>
    <row r="276" spans="1:71" x14ac:dyDescent="0.25">
      <c r="A276" s="255"/>
      <c r="B276" s="255"/>
      <c r="C276" s="255"/>
      <c r="D276" s="255"/>
      <c r="E276" s="255"/>
      <c r="F276" s="255"/>
      <c r="G276" s="255"/>
      <c r="H276" s="255"/>
      <c r="I276" s="255"/>
      <c r="J276" s="255"/>
      <c r="K276" s="255"/>
      <c r="L276" s="255"/>
      <c r="M276" s="255"/>
      <c r="N276" s="255"/>
      <c r="O276" s="255"/>
      <c r="P276" s="255"/>
      <c r="Q276" s="255"/>
      <c r="R276" s="255"/>
      <c r="S276" s="255"/>
      <c r="T276" s="255"/>
      <c r="U276" s="255"/>
      <c r="V276" s="255"/>
      <c r="W276" s="255"/>
      <c r="X276" s="255"/>
      <c r="Y276" s="255"/>
      <c r="Z276" s="255"/>
      <c r="AA276" s="255"/>
      <c r="AB276" s="255"/>
      <c r="AC276" s="255"/>
      <c r="AD276" s="255"/>
      <c r="AE276" s="255"/>
      <c r="AF276" s="255"/>
      <c r="AG276" s="255"/>
      <c r="AH276" s="255"/>
      <c r="AI276" s="255"/>
      <c r="AJ276" s="255"/>
      <c r="AK276" s="255"/>
      <c r="AL276" s="255"/>
      <c r="AM276" s="255"/>
      <c r="AN276" s="255"/>
      <c r="AO276" s="255"/>
      <c r="AP276" s="255"/>
      <c r="AQ276" s="255"/>
      <c r="AR276" s="255"/>
      <c r="AS276" s="255"/>
      <c r="AT276" s="255"/>
      <c r="AU276" s="255"/>
      <c r="AV276" s="255"/>
      <c r="AW276" s="255"/>
      <c r="AX276" s="255"/>
      <c r="AY276" s="255"/>
      <c r="AZ276" s="255"/>
      <c r="BA276" s="255"/>
      <c r="BB276" s="255"/>
      <c r="BC276" s="255"/>
      <c r="BD276" s="255"/>
      <c r="BE276" s="255"/>
      <c r="BF276" s="255"/>
      <c r="BG276" s="255"/>
      <c r="BH276" s="255"/>
      <c r="BI276" s="255"/>
      <c r="BJ276" s="255"/>
      <c r="BK276" s="255"/>
      <c r="BL276" s="255"/>
      <c r="BM276" s="255"/>
      <c r="BN276" s="255"/>
      <c r="BO276" s="255"/>
      <c r="BP276" s="255"/>
      <c r="BQ276" s="255"/>
      <c r="BR276" s="255"/>
      <c r="BS276" s="255"/>
    </row>
    <row r="277" spans="1:71" x14ac:dyDescent="0.25">
      <c r="A277" s="255"/>
      <c r="B277" s="255"/>
      <c r="C277" s="255"/>
      <c r="D277" s="255"/>
      <c r="E277" s="255"/>
      <c r="F277" s="255"/>
      <c r="G277" s="255"/>
      <c r="H277" s="255"/>
      <c r="I277" s="255"/>
      <c r="J277" s="255"/>
      <c r="K277" s="255"/>
      <c r="L277" s="255"/>
      <c r="M277" s="255"/>
      <c r="N277" s="255"/>
      <c r="O277" s="255"/>
      <c r="P277" s="255"/>
      <c r="Q277" s="255"/>
      <c r="R277" s="255"/>
      <c r="S277" s="255"/>
      <c r="T277" s="255"/>
      <c r="U277" s="255"/>
      <c r="V277" s="255"/>
      <c r="W277" s="255"/>
      <c r="X277" s="255"/>
      <c r="Y277" s="255"/>
      <c r="Z277" s="255"/>
      <c r="AA277" s="255"/>
      <c r="AB277" s="255"/>
      <c r="AC277" s="255"/>
      <c r="AD277" s="255"/>
      <c r="AE277" s="255"/>
      <c r="AF277" s="255"/>
      <c r="AG277" s="255"/>
      <c r="AH277" s="255"/>
      <c r="AI277" s="255"/>
      <c r="AJ277" s="255"/>
      <c r="AK277" s="255"/>
      <c r="AL277" s="255"/>
      <c r="AM277" s="255"/>
      <c r="AN277" s="255"/>
      <c r="AO277" s="255"/>
      <c r="AP277" s="255"/>
      <c r="AQ277" s="255"/>
      <c r="AR277" s="255"/>
      <c r="AS277" s="255"/>
      <c r="AT277" s="255"/>
      <c r="AU277" s="255"/>
      <c r="AV277" s="255"/>
      <c r="AW277" s="255"/>
      <c r="AX277" s="255"/>
      <c r="AY277" s="255"/>
      <c r="AZ277" s="255"/>
      <c r="BA277" s="255"/>
      <c r="BB277" s="255"/>
      <c r="BC277" s="255"/>
      <c r="BD277" s="255"/>
      <c r="BE277" s="255"/>
      <c r="BF277" s="255"/>
      <c r="BG277" s="255"/>
      <c r="BH277" s="255"/>
      <c r="BI277" s="255"/>
      <c r="BJ277" s="255"/>
      <c r="BK277" s="255"/>
      <c r="BL277" s="255"/>
      <c r="BM277" s="255"/>
      <c r="BN277" s="255"/>
      <c r="BO277" s="255"/>
      <c r="BP277" s="255"/>
      <c r="BQ277" s="255"/>
      <c r="BR277" s="255"/>
      <c r="BS277" s="255"/>
    </row>
    <row r="278" spans="1:71" x14ac:dyDescent="0.25">
      <c r="A278" s="255"/>
      <c r="B278" s="255"/>
      <c r="C278" s="255"/>
      <c r="D278" s="255"/>
      <c r="E278" s="255"/>
      <c r="F278" s="255"/>
      <c r="G278" s="255"/>
      <c r="H278" s="255"/>
      <c r="I278" s="255"/>
      <c r="J278" s="255"/>
      <c r="K278" s="255"/>
      <c r="L278" s="255"/>
      <c r="M278" s="255"/>
      <c r="N278" s="255"/>
      <c r="O278" s="255"/>
      <c r="P278" s="255"/>
      <c r="Q278" s="255"/>
      <c r="R278" s="255"/>
      <c r="S278" s="255"/>
      <c r="T278" s="255"/>
      <c r="U278" s="255"/>
      <c r="V278" s="255"/>
      <c r="W278" s="255"/>
      <c r="X278" s="255"/>
      <c r="Y278" s="255"/>
      <c r="Z278" s="255"/>
      <c r="AA278" s="255"/>
      <c r="AB278" s="255"/>
      <c r="AC278" s="255"/>
      <c r="AD278" s="255"/>
      <c r="AE278" s="255"/>
      <c r="AF278" s="255"/>
      <c r="AG278" s="255"/>
      <c r="AH278" s="255"/>
      <c r="AI278" s="255"/>
      <c r="AJ278" s="255"/>
      <c r="AK278" s="255"/>
      <c r="AL278" s="255"/>
      <c r="AM278" s="255"/>
      <c r="AN278" s="255"/>
      <c r="AO278" s="255"/>
      <c r="AP278" s="255"/>
      <c r="AQ278" s="255"/>
      <c r="AR278" s="255"/>
      <c r="AS278" s="255"/>
      <c r="AT278" s="255"/>
      <c r="AU278" s="255"/>
      <c r="AV278" s="255"/>
      <c r="AW278" s="255"/>
      <c r="AX278" s="255"/>
      <c r="AY278" s="255"/>
      <c r="AZ278" s="255"/>
      <c r="BA278" s="255"/>
      <c r="BB278" s="255"/>
      <c r="BC278" s="255"/>
      <c r="BD278" s="255"/>
      <c r="BE278" s="255"/>
      <c r="BF278" s="255"/>
      <c r="BG278" s="255"/>
      <c r="BH278" s="255"/>
      <c r="BI278" s="255"/>
      <c r="BJ278" s="255"/>
      <c r="BK278" s="255"/>
      <c r="BL278" s="255"/>
      <c r="BM278" s="255"/>
      <c r="BN278" s="255"/>
      <c r="BO278" s="255"/>
      <c r="BP278" s="255"/>
      <c r="BQ278" s="255"/>
      <c r="BR278" s="255"/>
      <c r="BS278" s="255"/>
    </row>
    <row r="279" spans="1:71" x14ac:dyDescent="0.25">
      <c r="A279" s="255"/>
      <c r="B279" s="255"/>
      <c r="C279" s="255"/>
      <c r="D279" s="255"/>
      <c r="E279" s="255"/>
      <c r="F279" s="255"/>
      <c r="G279" s="255"/>
      <c r="H279" s="255"/>
      <c r="I279" s="255"/>
      <c r="J279" s="255"/>
      <c r="K279" s="255"/>
      <c r="L279" s="255"/>
      <c r="M279" s="255"/>
      <c r="N279" s="255"/>
      <c r="O279" s="255"/>
      <c r="P279" s="255"/>
      <c r="Q279" s="255"/>
      <c r="R279" s="255"/>
      <c r="S279" s="255"/>
      <c r="T279" s="255"/>
      <c r="U279" s="255"/>
      <c r="V279" s="255"/>
      <c r="W279" s="255"/>
      <c r="X279" s="255"/>
      <c r="Y279" s="255"/>
      <c r="Z279" s="255"/>
      <c r="AA279" s="255"/>
      <c r="AB279" s="255"/>
      <c r="AC279" s="255"/>
      <c r="AD279" s="255"/>
      <c r="AE279" s="255"/>
      <c r="AF279" s="255"/>
      <c r="AG279" s="255"/>
      <c r="AH279" s="255"/>
      <c r="AI279" s="255"/>
      <c r="AJ279" s="255"/>
      <c r="AK279" s="255"/>
      <c r="AL279" s="255"/>
      <c r="AM279" s="255"/>
      <c r="AN279" s="255"/>
      <c r="AO279" s="255"/>
      <c r="AP279" s="255"/>
      <c r="AQ279" s="255"/>
      <c r="AR279" s="255"/>
      <c r="AS279" s="255"/>
      <c r="AT279" s="255"/>
      <c r="AU279" s="255"/>
      <c r="AV279" s="255"/>
      <c r="AW279" s="255"/>
      <c r="AX279" s="255"/>
      <c r="AY279" s="255"/>
      <c r="AZ279" s="255"/>
      <c r="BA279" s="255"/>
      <c r="BB279" s="255"/>
      <c r="BC279" s="255"/>
      <c r="BD279" s="255"/>
      <c r="BE279" s="255"/>
      <c r="BF279" s="255"/>
      <c r="BG279" s="255"/>
      <c r="BH279" s="255"/>
      <c r="BI279" s="255"/>
      <c r="BJ279" s="255"/>
      <c r="BK279" s="255"/>
      <c r="BL279" s="255"/>
      <c r="BM279" s="255"/>
      <c r="BN279" s="255"/>
      <c r="BO279" s="255"/>
      <c r="BP279" s="255"/>
      <c r="BQ279" s="255"/>
      <c r="BR279" s="255"/>
      <c r="BS279" s="255"/>
    </row>
    <row r="280" spans="1:71" x14ac:dyDescent="0.25">
      <c r="A280" s="255"/>
      <c r="B280" s="255"/>
      <c r="C280" s="255"/>
      <c r="D280" s="255"/>
      <c r="E280" s="255"/>
      <c r="F280" s="255"/>
      <c r="G280" s="255"/>
      <c r="H280" s="255"/>
      <c r="I280" s="255"/>
      <c r="J280" s="255"/>
      <c r="K280" s="255"/>
      <c r="L280" s="255"/>
      <c r="M280" s="255"/>
      <c r="N280" s="255"/>
      <c r="O280" s="255"/>
      <c r="P280" s="255"/>
      <c r="Q280" s="255"/>
      <c r="R280" s="255"/>
      <c r="S280" s="255"/>
      <c r="T280" s="255"/>
      <c r="U280" s="255"/>
      <c r="V280" s="255"/>
      <c r="W280" s="255"/>
      <c r="X280" s="255"/>
      <c r="Y280" s="255"/>
      <c r="Z280" s="255"/>
      <c r="AA280" s="255"/>
      <c r="AB280" s="255"/>
      <c r="AC280" s="255"/>
      <c r="AD280" s="255"/>
      <c r="AE280" s="255"/>
      <c r="AF280" s="255"/>
      <c r="AG280" s="255"/>
      <c r="AH280" s="255"/>
      <c r="AI280" s="255"/>
      <c r="AJ280" s="255"/>
      <c r="AK280" s="255"/>
      <c r="AL280" s="255"/>
      <c r="AM280" s="255"/>
      <c r="AN280" s="255"/>
      <c r="AO280" s="255"/>
      <c r="AP280" s="255"/>
      <c r="AQ280" s="255"/>
      <c r="AR280" s="255"/>
      <c r="AS280" s="255"/>
      <c r="AT280" s="255"/>
      <c r="AU280" s="255"/>
      <c r="AV280" s="255"/>
      <c r="AW280" s="255"/>
      <c r="AX280" s="255"/>
      <c r="AY280" s="255"/>
      <c r="AZ280" s="255"/>
      <c r="BA280" s="255"/>
      <c r="BB280" s="255"/>
      <c r="BC280" s="255"/>
      <c r="BD280" s="255"/>
      <c r="BE280" s="255"/>
      <c r="BF280" s="255"/>
      <c r="BG280" s="255"/>
      <c r="BH280" s="255"/>
      <c r="BI280" s="255"/>
      <c r="BJ280" s="255"/>
      <c r="BK280" s="255"/>
      <c r="BL280" s="255"/>
      <c r="BM280" s="255"/>
      <c r="BN280" s="255"/>
      <c r="BO280" s="255"/>
      <c r="BP280" s="255"/>
      <c r="BQ280" s="255"/>
      <c r="BR280" s="255"/>
      <c r="BS280" s="255"/>
    </row>
  </sheetData>
  <phoneticPr fontId="52" type="noConversion"/>
  <conditionalFormatting sqref="M28">
    <cfRule type="expression" dxfId="83" priority="90">
      <formula>AND($C$29&lt;&gt;0, $L$28&gt;0.3)</formula>
    </cfRule>
    <cfRule type="expression" dxfId="82" priority="91">
      <formula>AND($C$29&lt;&gt;0, $L$28&lt;0.3)</formula>
    </cfRule>
    <cfRule type="expression" dxfId="81" priority="92">
      <formula>$C$29=0</formula>
    </cfRule>
  </conditionalFormatting>
  <conditionalFormatting sqref="S5">
    <cfRule type="expression" dxfId="80" priority="96">
      <formula>$R$5=0</formula>
    </cfRule>
    <cfRule type="expression" dxfId="79" priority="97">
      <formula>AND($R$5&lt;=12, $R$5&lt;&gt;0)</formula>
    </cfRule>
    <cfRule type="expression" dxfId="78" priority="98">
      <formula>$R$5&gt;12</formula>
    </cfRule>
  </conditionalFormatting>
  <conditionalFormatting sqref="S10">
    <cfRule type="expression" dxfId="77" priority="93">
      <formula>AND($R$10&lt;0.075, $R$10&lt;&gt;0)</formula>
    </cfRule>
    <cfRule type="expression" dxfId="76" priority="94">
      <formula>$R$10&gt;0.075</formula>
    </cfRule>
    <cfRule type="expression" dxfId="75" priority="95">
      <formula>$R$10=0</formula>
    </cfRule>
  </conditionalFormatting>
  <conditionalFormatting sqref="M104:M105">
    <cfRule type="expression" dxfId="74" priority="80">
      <formula>OR($L104=0,$K104=0)</formula>
    </cfRule>
    <cfRule type="expression" dxfId="73" priority="81">
      <formula>$L104&lt;$K104</formula>
    </cfRule>
    <cfRule type="expression" dxfId="72" priority="82">
      <formula>$L104&gt;$K104</formula>
    </cfRule>
  </conditionalFormatting>
  <conditionalFormatting sqref="L109:L110 L269:L270">
    <cfRule type="expression" dxfId="71" priority="77">
      <formula>OR($K109=0,$I109=0)</formula>
    </cfRule>
    <cfRule type="expression" dxfId="70" priority="78">
      <formula>$K109&lt;$I109</formula>
    </cfRule>
    <cfRule type="expression" dxfId="69" priority="79">
      <formula>$K109&gt;$I109</formula>
    </cfRule>
  </conditionalFormatting>
  <conditionalFormatting sqref="M107">
    <cfRule type="expression" dxfId="68" priority="114">
      <formula>OR($L107=0,$K107=0)</formula>
    </cfRule>
    <cfRule type="expression" dxfId="67" priority="115">
      <formula>$L107&lt;$K107</formula>
    </cfRule>
    <cfRule type="expression" dxfId="66" priority="116">
      <formula>$L107&gt;$K107</formula>
    </cfRule>
  </conditionalFormatting>
  <conditionalFormatting sqref="M106">
    <cfRule type="expression" dxfId="65" priority="117">
      <formula>OR($L106=0,$K106=0)</formula>
    </cfRule>
    <cfRule type="expression" dxfId="64" priority="118">
      <formula>$L106&lt;$K106</formula>
    </cfRule>
    <cfRule type="expression" dxfId="63" priority="119">
      <formula>$L106&gt;$K106</formula>
    </cfRule>
  </conditionalFormatting>
  <conditionalFormatting sqref="P24 P25:Q25 P27:Q27">
    <cfRule type="expression" dxfId="62" priority="72">
      <formula>$Q$22="Cormorán"</formula>
    </cfRule>
  </conditionalFormatting>
  <conditionalFormatting sqref="Q24">
    <cfRule type="expression" dxfId="61" priority="75">
      <formula>$Q$22="Cormorán"</formula>
    </cfRule>
  </conditionalFormatting>
  <conditionalFormatting sqref="P27">
    <cfRule type="expression" dxfId="60" priority="73">
      <formula>OR(N27=0,Q27=0)</formula>
    </cfRule>
    <cfRule type="expression" dxfId="59" priority="74">
      <formula>AND(N27&gt;Q27,N27&lt;&gt;0,Q27&lt;&gt;0)</formula>
    </cfRule>
    <cfRule type="expression" dxfId="58" priority="76">
      <formula>AND(N27&lt;=Q27,N27&lt;&gt;0,Q27&lt;&gt;0)</formula>
    </cfRule>
  </conditionalFormatting>
  <conditionalFormatting sqref="R24:S27">
    <cfRule type="expression" dxfId="57" priority="65">
      <formula>$Q$22="Pt. Da Buitra"</formula>
    </cfRule>
  </conditionalFormatting>
  <conditionalFormatting sqref="P29:P30 P32:Q32">
    <cfRule type="expression" dxfId="56" priority="60">
      <formula>$Q$22="Cormorán"</formula>
    </cfRule>
  </conditionalFormatting>
  <conditionalFormatting sqref="P32">
    <cfRule type="expression" dxfId="55" priority="61">
      <formula>OR(N32=0,Q32=0)</formula>
    </cfRule>
    <cfRule type="expression" dxfId="54" priority="62">
      <formula>AND(N32&gt;Q32,N32&lt;&gt;0,Q32&lt;&gt;0)</formula>
    </cfRule>
    <cfRule type="expression" dxfId="53" priority="64">
      <formula>AND(N32&lt;=Q32,N32&lt;&gt;0,Q32&lt;&gt;0)</formula>
    </cfRule>
  </conditionalFormatting>
  <conditionalFormatting sqref="Q29:Q30">
    <cfRule type="expression" dxfId="52" priority="59">
      <formula>$Q$22="Cormorán"</formula>
    </cfRule>
  </conditionalFormatting>
  <conditionalFormatting sqref="R29:S29 R31:S32 R30">
    <cfRule type="expression" dxfId="51" priority="58">
      <formula>$Q$22="Pt. Da Buitra"</formula>
    </cfRule>
  </conditionalFormatting>
  <conditionalFormatting sqref="R34:S34">
    <cfRule type="expression" dxfId="50" priority="57">
      <formula>$Q$22="Pt. Da Buitra"</formula>
    </cfRule>
  </conditionalFormatting>
  <conditionalFormatting sqref="R34:S35">
    <cfRule type="expression" dxfId="49" priority="56">
      <formula>$Q$22="Pt. Da Buitra"</formula>
    </cfRule>
  </conditionalFormatting>
  <conditionalFormatting sqref="J176:J179">
    <cfRule type="expression" dxfId="48" priority="123">
      <formula>OR(#REF!=0,#REF!=0)</formula>
    </cfRule>
    <cfRule type="expression" dxfId="47" priority="124">
      <formula>#REF!&lt;#REF!</formula>
    </cfRule>
    <cfRule type="expression" dxfId="46" priority="125">
      <formula>#REF!&gt;#REF!</formula>
    </cfRule>
  </conditionalFormatting>
  <conditionalFormatting sqref="M176:M179">
    <cfRule type="expression" dxfId="45" priority="44">
      <formula>$L176&gt;$K176</formula>
    </cfRule>
    <cfRule type="expression" dxfId="44" priority="45">
      <formula>$L176&lt;$K176</formula>
    </cfRule>
    <cfRule type="expression" dxfId="43" priority="46">
      <formula>OR($L176=0,$K176=0)</formula>
    </cfRule>
  </conditionalFormatting>
  <conditionalFormatting sqref="J264:J267">
    <cfRule type="expression" dxfId="42" priority="41">
      <formula>OR(#REF!=0,#REF!=0)</formula>
    </cfRule>
    <cfRule type="expression" dxfId="41" priority="42">
      <formula>#REF!&lt;#REF!</formula>
    </cfRule>
    <cfRule type="expression" dxfId="40" priority="43">
      <formula>#REF!&gt;#REF!</formula>
    </cfRule>
  </conditionalFormatting>
  <conditionalFormatting sqref="M264:M267">
    <cfRule type="expression" dxfId="39" priority="38">
      <formula>$L264&gt;$K264</formula>
    </cfRule>
    <cfRule type="expression" dxfId="38" priority="39">
      <formula>$L264&lt;$K264</formula>
    </cfRule>
    <cfRule type="expression" dxfId="37" priority="40">
      <formula>OR($L264=0,$K264=0)</formula>
    </cfRule>
  </conditionalFormatting>
  <conditionalFormatting sqref="R37">
    <cfRule type="expression" dxfId="36" priority="34">
      <formula>$Q$22="Pt. Da Buitra"</formula>
    </cfRule>
  </conditionalFormatting>
  <conditionalFormatting sqref="R37">
    <cfRule type="expression" dxfId="35" priority="33">
      <formula>$Q$22="Pt. Da Buitra"</formula>
    </cfRule>
  </conditionalFormatting>
  <conditionalFormatting sqref="S37">
    <cfRule type="expression" dxfId="34" priority="32">
      <formula>$Q$22="Pt. Da Buitra"</formula>
    </cfRule>
  </conditionalFormatting>
  <conditionalFormatting sqref="S37">
    <cfRule type="expression" dxfId="33" priority="31">
      <formula>$Q$22="Pt. Da Buitra"</formula>
    </cfRule>
  </conditionalFormatting>
  <conditionalFormatting sqref="R38">
    <cfRule type="expression" dxfId="32" priority="30">
      <formula>$Q$22="Pt. Da Buitra"</formula>
    </cfRule>
  </conditionalFormatting>
  <conditionalFormatting sqref="S38">
    <cfRule type="expression" dxfId="31" priority="27">
      <formula>$Q$22="Pt. Da Buitra"</formula>
    </cfRule>
  </conditionalFormatting>
  <conditionalFormatting sqref="M188:M189">
    <cfRule type="expression" dxfId="30" priority="24">
      <formula>$L188&gt;$K188</formula>
    </cfRule>
    <cfRule type="expression" dxfId="29" priority="25">
      <formula>$L188&lt;$K188</formula>
    </cfRule>
    <cfRule type="expression" dxfId="28" priority="26">
      <formula>OR($L188=0,$K188=0)</formula>
    </cfRule>
  </conditionalFormatting>
  <conditionalFormatting sqref="R32">
    <cfRule type="expression" dxfId="27" priority="129">
      <formula>AND(N27&gt;S32,N27&lt;&gt;0,S32&lt;&gt;0)</formula>
    </cfRule>
    <cfRule type="expression" dxfId="26" priority="130">
      <formula>AND(N27&lt;=S32,N27&lt;&gt;0,S32&lt;&gt;0)</formula>
    </cfRule>
    <cfRule type="expression" dxfId="25" priority="131">
      <formula>OR(N27=0,S32=0)</formula>
    </cfRule>
  </conditionalFormatting>
  <conditionalFormatting sqref="R27">
    <cfRule type="expression" dxfId="24" priority="132">
      <formula>AND(N27&gt;S27,N32&lt;&gt;0,S27&lt;&gt;0)</formula>
    </cfRule>
    <cfRule type="expression" dxfId="23" priority="133">
      <formula>AND(N27&lt;=S27,N27&lt;&gt;0,S27&lt;&gt;0)</formula>
    </cfRule>
    <cfRule type="expression" dxfId="22" priority="134">
      <formula>OR(N27=0,S27=0)</formula>
    </cfRule>
  </conditionalFormatting>
  <conditionalFormatting sqref="C29">
    <cfRule type="expression" dxfId="21" priority="23">
      <formula>$Q$22="Pt. Da Buitra"</formula>
    </cfRule>
  </conditionalFormatting>
  <conditionalFormatting sqref="F29">
    <cfRule type="expression" dxfId="20" priority="22">
      <formula>$Q$22="Pt. Da Buitra"</formula>
    </cfRule>
  </conditionalFormatting>
  <conditionalFormatting sqref="L50">
    <cfRule type="expression" dxfId="19" priority="21">
      <formula>$Q$22="Pt. Da Buitra"</formula>
    </cfRule>
  </conditionalFormatting>
  <conditionalFormatting sqref="L50">
    <cfRule type="expression" dxfId="18" priority="20">
      <formula>$Q$22="Pt. Da Buitra"</formula>
    </cfRule>
  </conditionalFormatting>
  <conditionalFormatting sqref="P53">
    <cfRule type="expression" dxfId="17" priority="19">
      <formula>$Q$22="Pt. Da Buitra"</formula>
    </cfRule>
  </conditionalFormatting>
  <conditionalFormatting sqref="P53">
    <cfRule type="expression" dxfId="16" priority="18">
      <formula>$Q$22="Pt. Da Buitra"</formula>
    </cfRule>
  </conditionalFormatting>
  <conditionalFormatting sqref="I51">
    <cfRule type="expression" dxfId="15" priority="17">
      <formula>$I$48="-"</formula>
    </cfRule>
  </conditionalFormatting>
  <conditionalFormatting sqref="M51">
    <cfRule type="expression" dxfId="14" priority="16">
      <formula>$I$48="-"</formula>
    </cfRule>
  </conditionalFormatting>
  <conditionalFormatting sqref="I56">
    <cfRule type="expression" dxfId="13" priority="14">
      <formula>$I$48="-"</formula>
    </cfRule>
  </conditionalFormatting>
  <conditionalFormatting sqref="G57:P57">
    <cfRule type="expression" dxfId="12" priority="12">
      <formula>$P$48="0"</formula>
    </cfRule>
    <cfRule type="expression" dxfId="11" priority="13">
      <formula>$P$48="Ni Arr Ni Queb"</formula>
    </cfRule>
  </conditionalFormatting>
  <conditionalFormatting sqref="N41">
    <cfRule type="expression" dxfId="10" priority="11">
      <formula>$O$41="B1"</formula>
    </cfRule>
  </conditionalFormatting>
  <conditionalFormatting sqref="N42">
    <cfRule type="expression" dxfId="9" priority="10">
      <formula>$O$42="B2"</formula>
    </cfRule>
  </conditionalFormatting>
  <conditionalFormatting sqref="N43">
    <cfRule type="expression" dxfId="8" priority="9">
      <formula>$O$43="B3"</formula>
    </cfRule>
  </conditionalFormatting>
  <conditionalFormatting sqref="N44">
    <cfRule type="expression" dxfId="7" priority="8">
      <formula>$O$44="B4"</formula>
    </cfRule>
  </conditionalFormatting>
  <conditionalFormatting sqref="N45">
    <cfRule type="expression" dxfId="6" priority="7">
      <formula>$O$45="B5"</formula>
    </cfRule>
  </conditionalFormatting>
  <conditionalFormatting sqref="N34">
    <cfRule type="expression" dxfId="5" priority="6">
      <formula>$J$33="B1"</formula>
    </cfRule>
  </conditionalFormatting>
  <conditionalFormatting sqref="N35">
    <cfRule type="expression" dxfId="4" priority="5">
      <formula>$J$33="B2"</formula>
    </cfRule>
  </conditionalFormatting>
  <conditionalFormatting sqref="N36">
    <cfRule type="expression" dxfId="3" priority="4">
      <formula>$J$33="B3"</formula>
    </cfRule>
  </conditionalFormatting>
  <conditionalFormatting sqref="N37">
    <cfRule type="expression" dxfId="2" priority="3">
      <formula>$J$33="B4"</formula>
    </cfRule>
  </conditionalFormatting>
  <conditionalFormatting sqref="N38">
    <cfRule type="expression" dxfId="1" priority="2">
      <formula>$J$33="B5"</formula>
    </cfRule>
  </conditionalFormatting>
  <conditionalFormatting sqref="N39">
    <cfRule type="expression" dxfId="0" priority="1">
      <formula>$J$33="Dp2BrEr"</formula>
    </cfRule>
  </conditionalFormatting>
  <dataValidations count="34">
    <dataValidation type="list" allowBlank="1" showInputMessage="1" showErrorMessage="1" sqref="F1 C32 C36 H33 H36" xr:uid="{7D4735B2-8D79-4B00-A96D-4C91D3D761C1}">
      <formula1>"ft3,m3"</formula1>
    </dataValidation>
    <dataValidation type="list" allowBlank="1" showInputMessage="1" showErrorMessage="1" sqref="F3 C34:C35 C38 H34 H37" xr:uid="{8FA0BB7D-471F-4E86-BE82-5E8CF875B30F}">
      <formula1>"Tm,LT"</formula1>
    </dataValidation>
    <dataValidation type="list" allowBlank="1" showInputMessage="1" showErrorMessage="1" sqref="L5:L25 D41:D54" xr:uid="{795662A7-F737-49D1-9112-B2E6A9532EC8}">
      <formula1>$G$33:$G$37</formula1>
    </dataValidation>
    <dataValidation type="list" allowBlank="1" showInputMessage="1" showErrorMessage="1" sqref="M5:M25" xr:uid="{E5BAFC3E-361B-4590-96CF-BFA175D6F8B0}">
      <mc:AlternateContent xmlns:x12ac="http://schemas.microsoft.com/office/spreadsheetml/2011/1/ac" xmlns:mc="http://schemas.openxmlformats.org/markup-compatibility/2006">
        <mc:Choice Requires="x12ac">
          <x12ac:list>1,"1,12"</x12ac:list>
        </mc:Choice>
        <mc:Fallback>
          <formula1>"1,1,12"</formula1>
        </mc:Fallback>
      </mc:AlternateContent>
    </dataValidation>
    <dataValidation type="list" allowBlank="1" showInputMessage="1" showErrorMessage="1" sqref="H86:H91 H93:H98" xr:uid="{3F84530C-3C01-4A37-949A-9146602D6830}">
      <formula1>"Pr,Pp,-,"</formula1>
    </dataValidation>
    <dataValidation type="list" allowBlank="1" showInputMessage="1" showErrorMessage="1" sqref="E92:H92 B92" xr:uid="{8400DE0A-99E2-48D8-93C0-BF69AB198EDC}">
      <formula1>"Distinto, Igual"</formula1>
    </dataValidation>
    <dataValidation type="list" allowBlank="1" showInputMessage="1" showErrorMessage="1" sqref="F2 E60 E199" xr:uid="{7EC36E9C-EC4D-434C-8A32-5D2AC747548B}">
      <formula1>"Editar,Limpiar"</formula1>
    </dataValidation>
    <dataValidation type="list" allowBlank="1" showInputMessage="1" showErrorMessage="1" sqref="H64:H71 H203:H210 H117:H125" xr:uid="{7EAB6D52-8C1B-4386-BEFD-F0120A3B1C95}">
      <formula1>"Tm,KN,-"</formula1>
    </dataValidation>
    <dataValidation type="list" allowBlank="1" showInputMessage="1" showErrorMessage="1" sqref="Q22" xr:uid="{A00CF539-F430-421D-AD79-BC11F0ABDCC2}">
      <formula1>"Pt. Da Buitra,             Cormorán"</formula1>
    </dataValidation>
    <dataValidation type="list" allowBlank="1" showInputMessage="1" showErrorMessage="1" sqref="L43 I43 L45 I45" xr:uid="{F1DACC22-333B-4CD7-AB6D-83CBC9172A53}">
      <formula1>"Tm,m3,ft3,LT"</formula1>
    </dataValidation>
    <dataValidation type="list" allowBlank="1" showInputMessage="1" showErrorMessage="1" sqref="E123" xr:uid="{0A7D6FA4-9707-458E-A23D-68FD31D6BC87}">
      <formula1>"-,Si,No"</formula1>
    </dataValidation>
    <dataValidation type="list" allowBlank="1" showInputMessage="1" showErrorMessage="1" sqref="C225 C235 C245 C254" xr:uid="{5B5EE3A6-40E2-49CB-A957-F519687CCFD0}">
      <formula1>K$203:K$210</formula1>
    </dataValidation>
    <dataValidation type="list" allowBlank="1" showInputMessage="1" showErrorMessage="1" sqref="D225 D235 D245 D254" xr:uid="{413860BF-C3D2-4B6B-9308-CC0AC9ABF45E}">
      <formula1>K$203:K$210</formula1>
    </dataValidation>
    <dataValidation type="list" allowBlank="1" showInputMessage="1" showErrorMessage="1" sqref="E225 E235 E245 E254" xr:uid="{C2BECD88-4910-4B8B-9269-45F17FD9A7D7}">
      <formula1>K$203:K$210</formula1>
    </dataValidation>
    <dataValidation type="list" allowBlank="1" showInputMessage="1" showErrorMessage="1" sqref="F225 F235 F245 F254" xr:uid="{FBF6E21E-5354-46D3-9797-35D6200F3789}">
      <formula1>K$203:K$210</formula1>
    </dataValidation>
    <dataValidation type="list" allowBlank="1" showInputMessage="1" showErrorMessage="1" sqref="G225 G235 G245 G254" xr:uid="{F5227D8E-FBDD-4A4E-A60D-7C8E38D4925B}">
      <formula1>K$203:K$210</formula1>
    </dataValidation>
    <dataValidation type="list" allowBlank="1" showInputMessage="1" showErrorMessage="1" sqref="H225 H235 H245 H254" xr:uid="{AD130656-5BE0-4CF9-AE19-6CB0E844C2EA}">
      <formula1>K$203:K$210</formula1>
    </dataValidation>
    <dataValidation type="list" allowBlank="1" showInputMessage="1" showErrorMessage="1" sqref="I225 I235 I245 I254" xr:uid="{75A8BF49-1BEE-4C47-B480-9DE4820AF263}">
      <formula1>K$203:K$210</formula1>
    </dataValidation>
    <dataValidation type="list" allowBlank="1" showInputMessage="1" showErrorMessage="1" sqref="C140 C149 C158 C167" xr:uid="{65FC8F77-85F3-495B-9DA5-FF9F614DEEA1}">
      <formula1>K$117:K$125</formula1>
    </dataValidation>
    <dataValidation type="list" allowBlank="1" showInputMessage="1" showErrorMessage="1" sqref="D140 D149 D158 D167" xr:uid="{9058A711-060E-4E40-9A21-85FF26A96AB9}">
      <formula1>K$117:K$125</formula1>
    </dataValidation>
    <dataValidation type="list" allowBlank="1" showInputMessage="1" showErrorMessage="1" sqref="E140 E149 E158 E167" xr:uid="{08F17BA1-8CE9-4853-BA9A-97C85CA2ACBB}">
      <formula1>K$117:K$125</formula1>
    </dataValidation>
    <dataValidation type="list" allowBlank="1" showInputMessage="1" showErrorMessage="1" sqref="F140 F149 F158 F167" xr:uid="{CE15D213-A95B-4E58-871A-20F4DF7490D8}">
      <formula1>K$117:K$125</formula1>
    </dataValidation>
    <dataValidation type="list" allowBlank="1" showInputMessage="1" showErrorMessage="1" sqref="G140 G149 G158 G167" xr:uid="{E5982E46-C1BB-4A09-9427-C2AD31994CCF}">
      <formula1>K$117:K$125</formula1>
    </dataValidation>
    <dataValidation type="list" allowBlank="1" showInputMessage="1" showErrorMessage="1" sqref="H140 H149 H158 H167" xr:uid="{4EA848C5-9801-4CAF-B761-14CBC0149A25}">
      <formula1>K$117:K$125</formula1>
    </dataValidation>
    <dataValidation type="list" allowBlank="1" showInputMessage="1" showErrorMessage="1" sqref="I140 I149 I158 I167" xr:uid="{A4A73A65-B191-4963-9D79-C089BD66F3F2}">
      <formula1>K$117:K$125</formula1>
    </dataValidation>
    <dataValidation type="list" allowBlank="1" showInputMessage="1" showErrorMessage="1" sqref="I48" xr:uid="{C7FF0BEB-03A3-4B82-815E-E6611436189F}">
      <formula1>"Apopante, Aproante, -"</formula1>
    </dataValidation>
    <dataValidation type="list" allowBlank="1" showInputMessage="1" showErrorMessage="1" sqref="N48" xr:uid="{C62DD4B3-DF6E-4E16-B890-6D9F8F1C6874}">
      <formula1>"&gt;11m, &lt;11m, -"</formula1>
    </dataValidation>
    <dataValidation type="list" allowBlank="1" showInputMessage="1" showErrorMessage="1" sqref="P48" xr:uid="{1B8E9B02-B45E-4AFF-8FB6-B019BC539254}">
      <formula1>"Arrufo, Quebranto, Ni Arr Ni Queb"</formula1>
    </dataValidation>
    <dataValidation type="list" allowBlank="1" showInputMessage="1" showErrorMessage="1" sqref="O41" xr:uid="{519352C5-AC58-47A2-A533-074E8DD2290A}">
      <formula1>"B1,Full"</formula1>
    </dataValidation>
    <dataValidation type="list" allowBlank="1" showInputMessage="1" showErrorMessage="1" sqref="O42" xr:uid="{29FFC8C1-BA0F-45FA-9743-DD9C621ED559}">
      <formula1>"B2,Full"</formula1>
    </dataValidation>
    <dataValidation type="list" allowBlank="1" showInputMessage="1" showErrorMessage="1" sqref="O43" xr:uid="{6F6EF666-527E-4745-9365-C92E5186A59A}">
      <formula1>"B3,Full"</formula1>
    </dataValidation>
    <dataValidation type="list" allowBlank="1" showInputMessage="1" showErrorMessage="1" sqref="O44" xr:uid="{3DC826E7-2BD1-48C1-8FF3-7364856D4460}">
      <formula1>"B4,Full"</formula1>
    </dataValidation>
    <dataValidation type="list" allowBlank="1" showInputMessage="1" showErrorMessage="1" sqref="O45" xr:uid="{3C73C7BE-FE9E-4902-86EF-674A43F7B1F9}">
      <formula1>"B5,Full"</formula1>
    </dataValidation>
    <dataValidation type="list" allowBlank="1" showInputMessage="1" showErrorMessage="1" sqref="J33" xr:uid="{9FFA92F2-2EAA-4925-8755-8C780EA5294B}">
      <formula1>"B1,B2,B3,B4,B5,Dp2BrEr,lcg"</formula1>
    </dataValidation>
  </dataValidations>
  <pageMargins left="0.7" right="0.7" top="0.75" bottom="0.75" header="0.3" footer="0.3"/>
  <pageSetup paperSize="9" orientation="portrait" horizontalDpi="300" verticalDpi="30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465AB4-FA67-4DC1-B590-2978F2316642}">
  <sheetPr codeName="Hoja4"/>
  <dimension ref="A1:P78"/>
  <sheetViews>
    <sheetView topLeftCell="A45" workbookViewId="0">
      <selection activeCell="P55" sqref="P55"/>
    </sheetView>
  </sheetViews>
  <sheetFormatPr baseColWidth="10" defaultRowHeight="13.2" x14ac:dyDescent="0.25"/>
  <sheetData>
    <row r="1" spans="1:16" x14ac:dyDescent="0.25">
      <c r="A1" s="280">
        <v>0.4</v>
      </c>
    </row>
    <row r="2" spans="1:16" x14ac:dyDescent="0.25">
      <c r="A2" t="s">
        <v>319</v>
      </c>
      <c r="B2" s="240">
        <v>-30</v>
      </c>
      <c r="C2" s="240">
        <v>-20</v>
      </c>
      <c r="D2" s="240">
        <v>-10</v>
      </c>
      <c r="E2" s="240">
        <v>0</v>
      </c>
      <c r="F2" s="240">
        <v>10</v>
      </c>
      <c r="G2" s="240">
        <v>20</v>
      </c>
      <c r="H2" s="240">
        <v>30</v>
      </c>
      <c r="I2" s="240">
        <v>40</v>
      </c>
      <c r="J2" s="240">
        <v>45</v>
      </c>
      <c r="K2" s="240">
        <v>50</v>
      </c>
      <c r="L2" s="240">
        <v>60</v>
      </c>
      <c r="M2" s="240">
        <v>70</v>
      </c>
      <c r="N2" s="240">
        <v>80</v>
      </c>
      <c r="O2" s="240">
        <v>90</v>
      </c>
      <c r="P2" t="s">
        <v>320</v>
      </c>
    </row>
    <row r="3" spans="1:16" x14ac:dyDescent="0.25">
      <c r="A3" s="282">
        <v>0</v>
      </c>
      <c r="B3" s="229" t="s">
        <v>290</v>
      </c>
      <c r="C3" s="229" t="s">
        <v>276</v>
      </c>
      <c r="D3" s="229" t="s">
        <v>252</v>
      </c>
      <c r="E3" s="229" t="s">
        <v>248</v>
      </c>
      <c r="F3" s="229" t="s">
        <v>321</v>
      </c>
      <c r="G3" s="229" t="s">
        <v>322</v>
      </c>
      <c r="H3" s="229" t="s">
        <v>323</v>
      </c>
      <c r="I3" s="229" t="s">
        <v>250</v>
      </c>
      <c r="J3" s="229" t="s">
        <v>270</v>
      </c>
      <c r="K3" s="229" t="s">
        <v>262</v>
      </c>
      <c r="L3" s="229" t="s">
        <v>324</v>
      </c>
      <c r="M3" s="229" t="s">
        <v>245</v>
      </c>
      <c r="N3" s="229" t="s">
        <v>294</v>
      </c>
      <c r="O3" s="229" t="s">
        <v>302</v>
      </c>
      <c r="P3" s="284">
        <v>90</v>
      </c>
    </row>
    <row r="4" spans="1:16" x14ac:dyDescent="0.25">
      <c r="A4" s="282">
        <v>10</v>
      </c>
      <c r="B4" s="229" t="s">
        <v>325</v>
      </c>
      <c r="C4" s="229" t="s">
        <v>278</v>
      </c>
      <c r="D4" s="229" t="s">
        <v>277</v>
      </c>
      <c r="E4" s="229" t="s">
        <v>260</v>
      </c>
      <c r="F4" s="229" t="s">
        <v>249</v>
      </c>
      <c r="G4" s="229" t="s">
        <v>326</v>
      </c>
      <c r="H4" s="229" t="s">
        <v>321</v>
      </c>
      <c r="I4" s="229" t="s">
        <v>327</v>
      </c>
      <c r="J4" s="229" t="s">
        <v>260</v>
      </c>
      <c r="K4" s="229" t="s">
        <v>269</v>
      </c>
      <c r="L4" s="229" t="s">
        <v>246</v>
      </c>
      <c r="M4" s="229" t="s">
        <v>275</v>
      </c>
      <c r="N4" s="229" t="s">
        <v>328</v>
      </c>
      <c r="O4" s="229" t="s">
        <v>302</v>
      </c>
      <c r="P4" s="284">
        <v>80</v>
      </c>
    </row>
    <row r="5" spans="1:16" x14ac:dyDescent="0.25">
      <c r="A5" s="282">
        <v>20</v>
      </c>
      <c r="B5" s="229" t="s">
        <v>329</v>
      </c>
      <c r="C5" s="229" t="s">
        <v>265</v>
      </c>
      <c r="D5" s="229" t="s">
        <v>264</v>
      </c>
      <c r="E5" s="229" t="s">
        <v>269</v>
      </c>
      <c r="F5" s="229" t="s">
        <v>270</v>
      </c>
      <c r="G5" s="229" t="s">
        <v>250</v>
      </c>
      <c r="H5" s="229" t="s">
        <v>327</v>
      </c>
      <c r="I5" s="229" t="s">
        <v>260</v>
      </c>
      <c r="J5" s="229" t="s">
        <v>262</v>
      </c>
      <c r="K5" s="229" t="s">
        <v>263</v>
      </c>
      <c r="L5" s="229" t="s">
        <v>259</v>
      </c>
      <c r="M5" s="229" t="s">
        <v>258</v>
      </c>
      <c r="N5" s="229" t="s">
        <v>328</v>
      </c>
      <c r="O5" s="229" t="s">
        <v>302</v>
      </c>
      <c r="P5" s="284">
        <v>70</v>
      </c>
    </row>
    <row r="6" spans="1:16" x14ac:dyDescent="0.25">
      <c r="A6" s="282">
        <v>30</v>
      </c>
      <c r="B6" s="229" t="s">
        <v>295</v>
      </c>
      <c r="C6" s="229" t="s">
        <v>330</v>
      </c>
      <c r="D6" s="229" t="s">
        <v>268</v>
      </c>
      <c r="E6" s="229" t="s">
        <v>253</v>
      </c>
      <c r="F6" s="229" t="s">
        <v>252</v>
      </c>
      <c r="G6" s="229" t="s">
        <v>262</v>
      </c>
      <c r="H6" s="229" t="s">
        <v>262</v>
      </c>
      <c r="I6" s="229" t="s">
        <v>252</v>
      </c>
      <c r="J6" s="229" t="s">
        <v>277</v>
      </c>
      <c r="K6" s="229" t="s">
        <v>264</v>
      </c>
      <c r="L6" s="229" t="s">
        <v>268</v>
      </c>
      <c r="M6" s="229" t="s">
        <v>290</v>
      </c>
      <c r="N6" s="229" t="s">
        <v>286</v>
      </c>
      <c r="O6" s="229" t="s">
        <v>302</v>
      </c>
      <c r="P6" s="284">
        <v>60</v>
      </c>
    </row>
    <row r="7" spans="1:16" x14ac:dyDescent="0.25">
      <c r="A7" s="282">
        <v>40</v>
      </c>
      <c r="B7" s="229" t="s">
        <v>274</v>
      </c>
      <c r="C7" s="229" t="s">
        <v>280</v>
      </c>
      <c r="D7" s="229" t="s">
        <v>330</v>
      </c>
      <c r="E7" s="229" t="s">
        <v>283</v>
      </c>
      <c r="F7" s="229" t="s">
        <v>259</v>
      </c>
      <c r="G7" s="229" t="s">
        <v>264</v>
      </c>
      <c r="H7" s="229" t="s">
        <v>264</v>
      </c>
      <c r="I7" s="229" t="s">
        <v>246</v>
      </c>
      <c r="J7" s="229" t="s">
        <v>259</v>
      </c>
      <c r="K7" s="229" t="s">
        <v>276</v>
      </c>
      <c r="L7" s="229" t="s">
        <v>273</v>
      </c>
      <c r="M7" s="229" t="s">
        <v>285</v>
      </c>
      <c r="N7" s="229" t="s">
        <v>331</v>
      </c>
      <c r="O7" s="229" t="s">
        <v>302</v>
      </c>
      <c r="P7" s="284">
        <v>50</v>
      </c>
    </row>
    <row r="8" spans="1:16" x14ac:dyDescent="0.25">
      <c r="A8" s="282">
        <v>50</v>
      </c>
      <c r="B8" s="229" t="s">
        <v>332</v>
      </c>
      <c r="C8" s="229" t="s">
        <v>256</v>
      </c>
      <c r="D8" s="229" t="s">
        <v>328</v>
      </c>
      <c r="E8" s="229" t="s">
        <v>285</v>
      </c>
      <c r="F8" s="229" t="s">
        <v>258</v>
      </c>
      <c r="G8" s="229" t="s">
        <v>333</v>
      </c>
      <c r="H8" s="229" t="s">
        <v>254</v>
      </c>
      <c r="I8" s="229" t="s">
        <v>265</v>
      </c>
      <c r="J8" s="229" t="s">
        <v>333</v>
      </c>
      <c r="K8" s="229" t="s">
        <v>245</v>
      </c>
      <c r="L8" s="229" t="s">
        <v>290</v>
      </c>
      <c r="M8" s="229" t="s">
        <v>266</v>
      </c>
      <c r="N8" s="229" t="s">
        <v>282</v>
      </c>
      <c r="O8" s="229" t="s">
        <v>302</v>
      </c>
      <c r="P8" s="284">
        <v>40</v>
      </c>
    </row>
    <row r="9" spans="1:16" x14ac:dyDescent="0.25">
      <c r="A9" s="282">
        <v>60</v>
      </c>
      <c r="B9" s="229" t="s">
        <v>317</v>
      </c>
      <c r="C9" s="229" t="s">
        <v>309</v>
      </c>
      <c r="D9" s="229" t="s">
        <v>301</v>
      </c>
      <c r="E9" s="229" t="s">
        <v>289</v>
      </c>
      <c r="F9" s="229" t="s">
        <v>328</v>
      </c>
      <c r="G9" s="229" t="s">
        <v>329</v>
      </c>
      <c r="H9" s="229" t="s">
        <v>335</v>
      </c>
      <c r="I9" s="229" t="s">
        <v>285</v>
      </c>
      <c r="J9" s="229" t="s">
        <v>285</v>
      </c>
      <c r="K9" s="229" t="s">
        <v>335</v>
      </c>
      <c r="L9" s="229" t="s">
        <v>266</v>
      </c>
      <c r="M9" s="229" t="s">
        <v>295</v>
      </c>
      <c r="N9" s="229" t="s">
        <v>336</v>
      </c>
      <c r="O9" s="229" t="s">
        <v>302</v>
      </c>
      <c r="P9" s="284">
        <v>30</v>
      </c>
    </row>
    <row r="10" spans="1:16" x14ac:dyDescent="0.25">
      <c r="A10" s="282">
        <v>70</v>
      </c>
      <c r="B10" s="229" t="s">
        <v>314</v>
      </c>
      <c r="C10" s="229" t="s">
        <v>337</v>
      </c>
      <c r="D10" s="229" t="s">
        <v>308</v>
      </c>
      <c r="E10" s="229" t="s">
        <v>299</v>
      </c>
      <c r="F10" s="229" t="s">
        <v>288</v>
      </c>
      <c r="G10" s="229" t="s">
        <v>274</v>
      </c>
      <c r="H10" s="229" t="s">
        <v>289</v>
      </c>
      <c r="I10" s="229" t="s">
        <v>338</v>
      </c>
      <c r="J10" s="229" t="s">
        <v>338</v>
      </c>
      <c r="K10" s="229" t="s">
        <v>331</v>
      </c>
      <c r="L10" s="229" t="s">
        <v>338</v>
      </c>
      <c r="M10" s="229" t="s">
        <v>339</v>
      </c>
      <c r="N10" s="229" t="s">
        <v>281</v>
      </c>
      <c r="O10" s="229" t="s">
        <v>302</v>
      </c>
      <c r="P10" s="284">
        <v>20</v>
      </c>
    </row>
    <row r="11" spans="1:16" x14ac:dyDescent="0.25">
      <c r="A11" s="282">
        <v>80</v>
      </c>
      <c r="B11" s="229" t="s">
        <v>312</v>
      </c>
      <c r="C11" s="229" t="s">
        <v>340</v>
      </c>
      <c r="D11" s="229" t="s">
        <v>314</v>
      </c>
      <c r="E11" s="229" t="s">
        <v>307</v>
      </c>
      <c r="F11" s="229" t="s">
        <v>341</v>
      </c>
      <c r="G11" s="229" t="s">
        <v>257</v>
      </c>
      <c r="H11" s="229" t="s">
        <v>303</v>
      </c>
      <c r="I11" s="229" t="s">
        <v>300</v>
      </c>
      <c r="J11" s="229" t="s">
        <v>288</v>
      </c>
      <c r="K11" s="229" t="s">
        <v>301</v>
      </c>
      <c r="L11" s="229" t="s">
        <v>287</v>
      </c>
      <c r="M11" s="229" t="s">
        <v>293</v>
      </c>
      <c r="N11" s="229" t="s">
        <v>301</v>
      </c>
      <c r="O11" s="229" t="s">
        <v>302</v>
      </c>
      <c r="P11" s="284">
        <v>10</v>
      </c>
    </row>
    <row r="12" spans="1:16" x14ac:dyDescent="0.25">
      <c r="A12" s="282">
        <v>90</v>
      </c>
      <c r="B12" s="229" t="s">
        <v>342</v>
      </c>
      <c r="C12" s="229" t="s">
        <v>343</v>
      </c>
      <c r="D12" s="229" t="s">
        <v>344</v>
      </c>
      <c r="E12" s="229" t="s">
        <v>304</v>
      </c>
      <c r="F12" s="229" t="s">
        <v>345</v>
      </c>
      <c r="G12" s="229" t="s">
        <v>346</v>
      </c>
      <c r="H12" s="229" t="s">
        <v>347</v>
      </c>
      <c r="I12" s="229" t="s">
        <v>318</v>
      </c>
      <c r="J12" s="229" t="s">
        <v>291</v>
      </c>
      <c r="K12" s="229" t="s">
        <v>348</v>
      </c>
      <c r="L12" s="229" t="s">
        <v>303</v>
      </c>
      <c r="M12" s="229" t="s">
        <v>296</v>
      </c>
      <c r="N12" s="229" t="s">
        <v>300</v>
      </c>
      <c r="O12" s="229" t="s">
        <v>302</v>
      </c>
      <c r="P12" s="284">
        <v>0</v>
      </c>
    </row>
    <row r="14" spans="1:16" x14ac:dyDescent="0.25">
      <c r="A14" s="280">
        <v>0.3</v>
      </c>
    </row>
    <row r="15" spans="1:16" x14ac:dyDescent="0.25">
      <c r="A15" s="229" t="s">
        <v>319</v>
      </c>
      <c r="B15" s="252">
        <v>-30</v>
      </c>
      <c r="C15" s="252">
        <v>-20</v>
      </c>
      <c r="D15" s="252">
        <v>-10</v>
      </c>
      <c r="E15" s="252">
        <v>0</v>
      </c>
      <c r="F15" s="252">
        <v>10</v>
      </c>
      <c r="G15" s="252">
        <v>20</v>
      </c>
      <c r="H15" s="252">
        <v>30</v>
      </c>
      <c r="I15" s="252">
        <v>40</v>
      </c>
      <c r="J15" s="252">
        <v>45</v>
      </c>
      <c r="K15" s="252">
        <v>50</v>
      </c>
      <c r="L15" s="252">
        <v>60</v>
      </c>
      <c r="M15" s="252">
        <v>70</v>
      </c>
      <c r="N15" s="252">
        <v>80</v>
      </c>
      <c r="O15" s="252">
        <v>90</v>
      </c>
      <c r="P15" s="229" t="s">
        <v>320</v>
      </c>
    </row>
    <row r="16" spans="1:16" x14ac:dyDescent="0.25">
      <c r="A16" s="283">
        <v>0</v>
      </c>
      <c r="B16" s="229" t="s">
        <v>245</v>
      </c>
      <c r="C16" s="229" t="s">
        <v>246</v>
      </c>
      <c r="D16" s="229" t="s">
        <v>247</v>
      </c>
      <c r="E16" s="229" t="s">
        <v>248</v>
      </c>
      <c r="F16" s="229" t="s">
        <v>249</v>
      </c>
      <c r="G16" s="229" t="s">
        <v>249</v>
      </c>
      <c r="H16" s="229" t="s">
        <v>250</v>
      </c>
      <c r="I16" s="229" t="s">
        <v>251</v>
      </c>
      <c r="J16" s="229" t="s">
        <v>252</v>
      </c>
      <c r="K16" s="229" t="s">
        <v>253</v>
      </c>
      <c r="L16" s="229" t="s">
        <v>254</v>
      </c>
      <c r="M16" s="229" t="s">
        <v>255</v>
      </c>
      <c r="N16" s="229" t="s">
        <v>256</v>
      </c>
      <c r="O16" s="229" t="s">
        <v>257</v>
      </c>
      <c r="P16" s="285">
        <v>90</v>
      </c>
    </row>
    <row r="17" spans="1:16" x14ac:dyDescent="0.25">
      <c r="A17" s="283">
        <v>10</v>
      </c>
      <c r="B17" s="229" t="s">
        <v>258</v>
      </c>
      <c r="C17" s="229" t="s">
        <v>259</v>
      </c>
      <c r="D17" s="229" t="s">
        <v>252</v>
      </c>
      <c r="E17" s="229" t="s">
        <v>260</v>
      </c>
      <c r="F17" s="229" t="s">
        <v>250</v>
      </c>
      <c r="G17" s="229" t="s">
        <v>261</v>
      </c>
      <c r="H17" s="229" t="s">
        <v>248</v>
      </c>
      <c r="I17" s="229" t="s">
        <v>262</v>
      </c>
      <c r="J17" s="229" t="s">
        <v>263</v>
      </c>
      <c r="K17" s="229" t="s">
        <v>264</v>
      </c>
      <c r="L17" s="229" t="s">
        <v>265</v>
      </c>
      <c r="M17" s="229" t="s">
        <v>255</v>
      </c>
      <c r="N17" s="229" t="s">
        <v>256</v>
      </c>
      <c r="O17" s="229" t="s">
        <v>257</v>
      </c>
      <c r="P17" s="285">
        <v>80</v>
      </c>
    </row>
    <row r="18" spans="1:16" x14ac:dyDescent="0.25">
      <c r="A18" s="283">
        <v>20</v>
      </c>
      <c r="B18" s="229" t="s">
        <v>267</v>
      </c>
      <c r="C18" s="229" t="s">
        <v>268</v>
      </c>
      <c r="D18" s="229" t="s">
        <v>253</v>
      </c>
      <c r="E18" s="229" t="s">
        <v>269</v>
      </c>
      <c r="F18" s="229" t="s">
        <v>260</v>
      </c>
      <c r="G18" s="229" t="s">
        <v>270</v>
      </c>
      <c r="H18" s="229" t="s">
        <v>251</v>
      </c>
      <c r="I18" s="229" t="s">
        <v>263</v>
      </c>
      <c r="J18" s="229" t="s">
        <v>271</v>
      </c>
      <c r="K18" s="229" t="s">
        <v>272</v>
      </c>
      <c r="L18" s="229" t="s">
        <v>273</v>
      </c>
      <c r="M18" s="229" t="s">
        <v>266</v>
      </c>
      <c r="N18" s="229" t="s">
        <v>274</v>
      </c>
      <c r="O18" s="229" t="s">
        <v>257</v>
      </c>
      <c r="P18" s="285">
        <v>70</v>
      </c>
    </row>
    <row r="19" spans="1:16" x14ac:dyDescent="0.25">
      <c r="A19" s="283">
        <v>30</v>
      </c>
      <c r="B19" s="229" t="s">
        <v>266</v>
      </c>
      <c r="C19" s="229" t="s">
        <v>275</v>
      </c>
      <c r="D19" s="229" t="s">
        <v>276</v>
      </c>
      <c r="E19" s="229" t="s">
        <v>253</v>
      </c>
      <c r="F19" s="229" t="s">
        <v>277</v>
      </c>
      <c r="G19" s="229" t="s">
        <v>252</v>
      </c>
      <c r="H19" s="229" t="s">
        <v>277</v>
      </c>
      <c r="I19" s="229" t="s">
        <v>264</v>
      </c>
      <c r="J19" s="229" t="s">
        <v>259</v>
      </c>
      <c r="K19" s="229" t="s">
        <v>278</v>
      </c>
      <c r="L19" s="229" t="s">
        <v>279</v>
      </c>
      <c r="M19" s="229" t="s">
        <v>280</v>
      </c>
      <c r="N19" s="229" t="s">
        <v>281</v>
      </c>
      <c r="O19" s="229" t="s">
        <v>257</v>
      </c>
      <c r="P19" s="285">
        <v>60</v>
      </c>
    </row>
    <row r="20" spans="1:16" x14ac:dyDescent="0.25">
      <c r="A20" s="283">
        <v>40</v>
      </c>
      <c r="B20" s="229" t="s">
        <v>282</v>
      </c>
      <c r="C20" s="229" t="s">
        <v>255</v>
      </c>
      <c r="D20" s="229" t="s">
        <v>258</v>
      </c>
      <c r="E20" s="229" t="s">
        <v>283</v>
      </c>
      <c r="F20" s="229" t="s">
        <v>284</v>
      </c>
      <c r="G20" s="229" t="s">
        <v>259</v>
      </c>
      <c r="H20" s="229" t="s">
        <v>284</v>
      </c>
      <c r="I20" s="229" t="s">
        <v>268</v>
      </c>
      <c r="J20" s="229" t="s">
        <v>265</v>
      </c>
      <c r="K20" s="229" t="s">
        <v>245</v>
      </c>
      <c r="L20" s="229" t="s">
        <v>285</v>
      </c>
      <c r="M20" s="229" t="s">
        <v>286</v>
      </c>
      <c r="N20" s="229" t="s">
        <v>287</v>
      </c>
      <c r="O20" s="229" t="s">
        <v>257</v>
      </c>
      <c r="P20" s="285">
        <v>50</v>
      </c>
    </row>
    <row r="21" spans="1:16" x14ac:dyDescent="0.25">
      <c r="A21" s="283">
        <v>50</v>
      </c>
      <c r="B21" s="229" t="s">
        <v>288</v>
      </c>
      <c r="C21" s="229" t="s">
        <v>289</v>
      </c>
      <c r="D21" s="229" t="s">
        <v>280</v>
      </c>
      <c r="E21" s="229" t="s">
        <v>285</v>
      </c>
      <c r="F21" s="229" t="s">
        <v>279</v>
      </c>
      <c r="G21" s="229" t="s">
        <v>275</v>
      </c>
      <c r="H21" s="229" t="s">
        <v>275</v>
      </c>
      <c r="I21" s="229" t="s">
        <v>279</v>
      </c>
      <c r="J21" s="229" t="s">
        <v>290</v>
      </c>
      <c r="K21" s="229" t="s">
        <v>285</v>
      </c>
      <c r="L21" s="229" t="s">
        <v>280</v>
      </c>
      <c r="M21" s="229" t="s">
        <v>289</v>
      </c>
      <c r="N21" s="229" t="s">
        <v>288</v>
      </c>
      <c r="O21" s="229" t="s">
        <v>257</v>
      </c>
      <c r="P21" s="285">
        <v>40</v>
      </c>
    </row>
    <row r="22" spans="1:16" x14ac:dyDescent="0.25">
      <c r="A22" s="283">
        <v>60</v>
      </c>
      <c r="B22" s="229" t="s">
        <v>291</v>
      </c>
      <c r="C22" s="229" t="s">
        <v>292</v>
      </c>
      <c r="D22" s="229" t="s">
        <v>293</v>
      </c>
      <c r="E22" s="229" t="s">
        <v>289</v>
      </c>
      <c r="F22" s="229" t="s">
        <v>286</v>
      </c>
      <c r="G22" s="229" t="s">
        <v>294</v>
      </c>
      <c r="H22" s="229" t="s">
        <v>280</v>
      </c>
      <c r="I22" s="229" t="s">
        <v>280</v>
      </c>
      <c r="J22" s="229" t="s">
        <v>294</v>
      </c>
      <c r="K22" s="229" t="s">
        <v>295</v>
      </c>
      <c r="L22" s="229" t="s">
        <v>282</v>
      </c>
      <c r="M22" s="229" t="s">
        <v>281</v>
      </c>
      <c r="N22" s="229" t="s">
        <v>296</v>
      </c>
      <c r="O22" s="229" t="s">
        <v>257</v>
      </c>
      <c r="P22" s="285">
        <v>30</v>
      </c>
    </row>
    <row r="23" spans="1:16" x14ac:dyDescent="0.25">
      <c r="A23" s="283">
        <v>70</v>
      </c>
      <c r="B23" s="229" t="s">
        <v>297</v>
      </c>
      <c r="C23" s="229" t="s">
        <v>298</v>
      </c>
      <c r="D23" s="229" t="s">
        <v>291</v>
      </c>
      <c r="E23" s="229" t="s">
        <v>299</v>
      </c>
      <c r="F23" s="229" t="s">
        <v>300</v>
      </c>
      <c r="G23" s="229" t="s">
        <v>301</v>
      </c>
      <c r="H23" s="229" t="s">
        <v>281</v>
      </c>
      <c r="I23" s="229" t="s">
        <v>281</v>
      </c>
      <c r="J23" s="229" t="s">
        <v>281</v>
      </c>
      <c r="K23" s="229" t="s">
        <v>281</v>
      </c>
      <c r="L23" s="229" t="s">
        <v>287</v>
      </c>
      <c r="M23" s="229" t="s">
        <v>302</v>
      </c>
      <c r="N23" s="229" t="s">
        <v>303</v>
      </c>
      <c r="O23" s="229" t="s">
        <v>257</v>
      </c>
      <c r="P23" s="285">
        <v>20</v>
      </c>
    </row>
    <row r="24" spans="1:16" x14ac:dyDescent="0.25">
      <c r="A24" s="283">
        <v>80</v>
      </c>
      <c r="B24" s="229" t="s">
        <v>304</v>
      </c>
      <c r="C24" s="229" t="s">
        <v>305</v>
      </c>
      <c r="D24" s="229" t="s">
        <v>306</v>
      </c>
      <c r="E24" s="229" t="s">
        <v>307</v>
      </c>
      <c r="F24" s="229" t="s">
        <v>298</v>
      </c>
      <c r="G24" s="229" t="s">
        <v>308</v>
      </c>
      <c r="H24" s="229" t="s">
        <v>257</v>
      </c>
      <c r="I24" s="229" t="s">
        <v>309</v>
      </c>
      <c r="J24" s="229" t="s">
        <v>309</v>
      </c>
      <c r="K24" s="229" t="s">
        <v>299</v>
      </c>
      <c r="L24" s="229" t="s">
        <v>303</v>
      </c>
      <c r="M24" s="229" t="s">
        <v>299</v>
      </c>
      <c r="N24" s="229" t="s">
        <v>309</v>
      </c>
      <c r="O24" s="229" t="s">
        <v>257</v>
      </c>
      <c r="P24" s="285">
        <v>10</v>
      </c>
    </row>
    <row r="25" spans="1:16" x14ac:dyDescent="0.25">
      <c r="A25" s="283">
        <v>90</v>
      </c>
      <c r="B25" s="229" t="s">
        <v>310</v>
      </c>
      <c r="C25" s="229" t="s">
        <v>311</v>
      </c>
      <c r="D25" s="229" t="s">
        <v>312</v>
      </c>
      <c r="E25" s="229" t="s">
        <v>304</v>
      </c>
      <c r="F25" s="229" t="s">
        <v>313</v>
      </c>
      <c r="G25" s="229" t="s">
        <v>314</v>
      </c>
      <c r="H25" s="229" t="s">
        <v>297</v>
      </c>
      <c r="I25" s="229" t="s">
        <v>315</v>
      </c>
      <c r="J25" s="229" t="s">
        <v>316</v>
      </c>
      <c r="K25" s="229" t="s">
        <v>317</v>
      </c>
      <c r="L25" s="229" t="s">
        <v>318</v>
      </c>
      <c r="M25" s="229" t="s">
        <v>291</v>
      </c>
      <c r="N25" s="229" t="s">
        <v>257</v>
      </c>
      <c r="O25" s="229" t="s">
        <v>257</v>
      </c>
      <c r="P25" s="285">
        <v>0</v>
      </c>
    </row>
    <row r="27" spans="1:16" x14ac:dyDescent="0.25">
      <c r="A27" s="281">
        <v>0.2</v>
      </c>
    </row>
    <row r="28" spans="1:16" x14ac:dyDescent="0.25">
      <c r="A28" s="196" t="s">
        <v>319</v>
      </c>
      <c r="B28" s="252">
        <v>-30</v>
      </c>
      <c r="C28" s="252">
        <v>-20</v>
      </c>
      <c r="D28" s="252">
        <v>-10</v>
      </c>
      <c r="E28" s="252">
        <v>0</v>
      </c>
      <c r="F28" s="252">
        <v>10</v>
      </c>
      <c r="G28" s="252">
        <v>20</v>
      </c>
      <c r="H28" s="252">
        <v>30</v>
      </c>
      <c r="I28" s="252">
        <v>40</v>
      </c>
      <c r="J28" s="252">
        <v>45</v>
      </c>
      <c r="K28" s="252">
        <v>50</v>
      </c>
      <c r="L28" s="252">
        <v>60</v>
      </c>
      <c r="M28" s="252">
        <v>70</v>
      </c>
      <c r="N28" s="252">
        <v>80</v>
      </c>
      <c r="O28" s="252">
        <v>90</v>
      </c>
      <c r="P28" s="229" t="s">
        <v>320</v>
      </c>
    </row>
    <row r="29" spans="1:16" x14ac:dyDescent="0.25">
      <c r="A29" s="283">
        <v>0</v>
      </c>
      <c r="B29" s="229" t="s">
        <v>283</v>
      </c>
      <c r="C29" s="229" t="s">
        <v>253</v>
      </c>
      <c r="D29" s="229" t="s">
        <v>262</v>
      </c>
      <c r="E29" s="229" t="s">
        <v>248</v>
      </c>
      <c r="F29" s="229" t="s">
        <v>250</v>
      </c>
      <c r="G29" s="229" t="s">
        <v>327</v>
      </c>
      <c r="H29" s="229" t="s">
        <v>349</v>
      </c>
      <c r="I29" s="229" t="s">
        <v>350</v>
      </c>
      <c r="J29" s="229" t="s">
        <v>324</v>
      </c>
      <c r="K29" s="229" t="s">
        <v>276</v>
      </c>
      <c r="L29" s="229" t="s">
        <v>290</v>
      </c>
      <c r="M29" s="229" t="s">
        <v>331</v>
      </c>
      <c r="N29" s="229" t="s">
        <v>292</v>
      </c>
      <c r="O29" s="229" t="s">
        <v>347</v>
      </c>
      <c r="P29" s="285">
        <v>90</v>
      </c>
    </row>
    <row r="30" spans="1:16" x14ac:dyDescent="0.25">
      <c r="A30" s="283">
        <v>10</v>
      </c>
      <c r="B30" s="229" t="s">
        <v>265</v>
      </c>
      <c r="C30" s="229" t="s">
        <v>264</v>
      </c>
      <c r="D30" s="229" t="s">
        <v>269</v>
      </c>
      <c r="E30" s="229" t="s">
        <v>260</v>
      </c>
      <c r="F30" s="229" t="s">
        <v>248</v>
      </c>
      <c r="G30" s="229" t="s">
        <v>270</v>
      </c>
      <c r="H30" s="229" t="s">
        <v>262</v>
      </c>
      <c r="I30" s="229" t="s">
        <v>271</v>
      </c>
      <c r="J30" s="229" t="s">
        <v>246</v>
      </c>
      <c r="K30" s="229" t="s">
        <v>278</v>
      </c>
      <c r="L30" s="229" t="s">
        <v>290</v>
      </c>
      <c r="M30" s="229" t="s">
        <v>338</v>
      </c>
      <c r="N30" s="229" t="s">
        <v>292</v>
      </c>
      <c r="O30" s="229" t="s">
        <v>347</v>
      </c>
      <c r="P30" s="285">
        <v>80</v>
      </c>
    </row>
    <row r="31" spans="1:16" x14ac:dyDescent="0.25">
      <c r="A31" s="283">
        <v>20</v>
      </c>
      <c r="B31" s="229" t="s">
        <v>275</v>
      </c>
      <c r="C31" s="229" t="s">
        <v>284</v>
      </c>
      <c r="D31" s="229" t="s">
        <v>350</v>
      </c>
      <c r="E31" s="229" t="s">
        <v>269</v>
      </c>
      <c r="F31" s="229" t="s">
        <v>251</v>
      </c>
      <c r="G31" s="229" t="s">
        <v>262</v>
      </c>
      <c r="H31" s="229" t="s">
        <v>263</v>
      </c>
      <c r="I31" s="229" t="s">
        <v>324</v>
      </c>
      <c r="J31" s="229" t="s">
        <v>284</v>
      </c>
      <c r="K31" s="229" t="s">
        <v>254</v>
      </c>
      <c r="L31" s="229" t="s">
        <v>285</v>
      </c>
      <c r="M31" s="229" t="s">
        <v>282</v>
      </c>
      <c r="N31" s="229" t="s">
        <v>332</v>
      </c>
      <c r="O31" s="229" t="s">
        <v>347</v>
      </c>
      <c r="P31" s="285">
        <v>70</v>
      </c>
    </row>
    <row r="32" spans="1:16" x14ac:dyDescent="0.25">
      <c r="A32" s="283">
        <v>30</v>
      </c>
      <c r="B32" s="229" t="s">
        <v>325</v>
      </c>
      <c r="C32" s="229" t="s">
        <v>265</v>
      </c>
      <c r="D32" s="229" t="s">
        <v>259</v>
      </c>
      <c r="E32" s="229" t="s">
        <v>253</v>
      </c>
      <c r="F32" s="229" t="s">
        <v>350</v>
      </c>
      <c r="G32" s="229" t="s">
        <v>271</v>
      </c>
      <c r="H32" s="229" t="s">
        <v>324</v>
      </c>
      <c r="I32" s="229" t="s">
        <v>278</v>
      </c>
      <c r="J32" s="229" t="s">
        <v>265</v>
      </c>
      <c r="K32" s="229" t="s">
        <v>275</v>
      </c>
      <c r="L32" s="229" t="s">
        <v>329</v>
      </c>
      <c r="M32" s="229" t="s">
        <v>336</v>
      </c>
      <c r="N32" s="229" t="s">
        <v>303</v>
      </c>
      <c r="O32" s="229" t="s">
        <v>347</v>
      </c>
      <c r="P32" s="285">
        <v>60</v>
      </c>
    </row>
    <row r="33" spans="1:16" x14ac:dyDescent="0.25">
      <c r="A33" s="283">
        <v>40</v>
      </c>
      <c r="B33" s="229" t="s">
        <v>328</v>
      </c>
      <c r="C33" s="229" t="s">
        <v>325</v>
      </c>
      <c r="D33" s="229" t="s">
        <v>245</v>
      </c>
      <c r="E33" s="229" t="s">
        <v>283</v>
      </c>
      <c r="F33" s="229" t="s">
        <v>278</v>
      </c>
      <c r="G33" s="229" t="s">
        <v>278</v>
      </c>
      <c r="H33" s="229" t="s">
        <v>254</v>
      </c>
      <c r="I33" s="229" t="s">
        <v>245</v>
      </c>
      <c r="J33" s="229" t="s">
        <v>330</v>
      </c>
      <c r="K33" s="229" t="s">
        <v>325</v>
      </c>
      <c r="L33" s="229" t="s">
        <v>328</v>
      </c>
      <c r="M33" s="229" t="s">
        <v>281</v>
      </c>
      <c r="N33" s="229" t="s">
        <v>309</v>
      </c>
      <c r="O33" s="229" t="s">
        <v>347</v>
      </c>
      <c r="P33" s="285">
        <v>50</v>
      </c>
    </row>
    <row r="34" spans="1:16" x14ac:dyDescent="0.25">
      <c r="A34" s="283">
        <v>50</v>
      </c>
      <c r="B34" s="229" t="s">
        <v>274</v>
      </c>
      <c r="C34" s="229" t="s">
        <v>286</v>
      </c>
      <c r="D34" s="229" t="s">
        <v>266</v>
      </c>
      <c r="E34" s="229" t="s">
        <v>285</v>
      </c>
      <c r="F34" s="229" t="s">
        <v>290</v>
      </c>
      <c r="G34" s="229" t="s">
        <v>290</v>
      </c>
      <c r="H34" s="229" t="s">
        <v>267</v>
      </c>
      <c r="I34" s="229" t="s">
        <v>255</v>
      </c>
      <c r="J34" s="229" t="s">
        <v>266</v>
      </c>
      <c r="K34" s="229" t="s">
        <v>294</v>
      </c>
      <c r="L34" s="229" t="s">
        <v>339</v>
      </c>
      <c r="M34" s="229" t="s">
        <v>288</v>
      </c>
      <c r="N34" s="229" t="s">
        <v>348</v>
      </c>
      <c r="O34" s="229" t="s">
        <v>347</v>
      </c>
      <c r="P34" s="285">
        <v>40</v>
      </c>
    </row>
    <row r="35" spans="1:16" x14ac:dyDescent="0.25">
      <c r="A35" s="283">
        <v>60</v>
      </c>
      <c r="B35" s="229" t="s">
        <v>309</v>
      </c>
      <c r="C35" s="229" t="s">
        <v>302</v>
      </c>
      <c r="D35" s="229" t="s">
        <v>274</v>
      </c>
      <c r="E35" s="229" t="s">
        <v>289</v>
      </c>
      <c r="F35" s="229" t="s">
        <v>331</v>
      </c>
      <c r="G35" s="229" t="s">
        <v>286</v>
      </c>
      <c r="H35" s="229" t="s">
        <v>331</v>
      </c>
      <c r="I35" s="229" t="s">
        <v>282</v>
      </c>
      <c r="J35" s="229" t="s">
        <v>339</v>
      </c>
      <c r="K35" s="229" t="s">
        <v>256</v>
      </c>
      <c r="L35" s="229" t="s">
        <v>301</v>
      </c>
      <c r="M35" s="229" t="s">
        <v>332</v>
      </c>
      <c r="N35" s="229" t="s">
        <v>291</v>
      </c>
      <c r="O35" s="229" t="s">
        <v>347</v>
      </c>
      <c r="P35" s="285">
        <v>30</v>
      </c>
    </row>
    <row r="36" spans="1:16" x14ac:dyDescent="0.25">
      <c r="A36" s="283">
        <v>70</v>
      </c>
      <c r="B36" s="229" t="s">
        <v>347</v>
      </c>
      <c r="C36" s="229" t="s">
        <v>334</v>
      </c>
      <c r="D36" s="229" t="s">
        <v>257</v>
      </c>
      <c r="E36" s="229" t="s">
        <v>299</v>
      </c>
      <c r="F36" s="229" t="s">
        <v>292</v>
      </c>
      <c r="G36" s="229" t="s">
        <v>300</v>
      </c>
      <c r="H36" s="229" t="s">
        <v>302</v>
      </c>
      <c r="I36" s="229" t="s">
        <v>300</v>
      </c>
      <c r="J36" s="229" t="s">
        <v>296</v>
      </c>
      <c r="K36" s="229" t="s">
        <v>292</v>
      </c>
      <c r="L36" s="229" t="s">
        <v>299</v>
      </c>
      <c r="M36" s="229" t="s">
        <v>257</v>
      </c>
      <c r="N36" s="229" t="s">
        <v>318</v>
      </c>
      <c r="O36" s="229" t="s">
        <v>347</v>
      </c>
      <c r="P36" s="285">
        <v>20</v>
      </c>
    </row>
    <row r="37" spans="1:16" x14ac:dyDescent="0.25">
      <c r="A37" s="283">
        <v>80</v>
      </c>
      <c r="B37" s="229" t="s">
        <v>313</v>
      </c>
      <c r="C37" s="229" t="s">
        <v>351</v>
      </c>
      <c r="D37" s="229" t="s">
        <v>346</v>
      </c>
      <c r="E37" s="229" t="s">
        <v>307</v>
      </c>
      <c r="F37" s="229" t="s">
        <v>316</v>
      </c>
      <c r="G37" s="229" t="s">
        <v>317</v>
      </c>
      <c r="H37" s="229" t="s">
        <v>334</v>
      </c>
      <c r="I37" s="229" t="s">
        <v>318</v>
      </c>
      <c r="J37" s="229" t="s">
        <v>318</v>
      </c>
      <c r="K37" s="229" t="s">
        <v>318</v>
      </c>
      <c r="L37" s="229" t="s">
        <v>318</v>
      </c>
      <c r="M37" s="229" t="s">
        <v>334</v>
      </c>
      <c r="N37" s="229" t="s">
        <v>317</v>
      </c>
      <c r="O37" s="229" t="s">
        <v>347</v>
      </c>
      <c r="P37" s="285">
        <v>10</v>
      </c>
    </row>
    <row r="38" spans="1:16" x14ac:dyDescent="0.25">
      <c r="A38" s="283">
        <v>90</v>
      </c>
      <c r="B38" s="229" t="s">
        <v>311</v>
      </c>
      <c r="C38" s="229" t="s">
        <v>344</v>
      </c>
      <c r="D38" s="229" t="s">
        <v>352</v>
      </c>
      <c r="E38" s="229" t="s">
        <v>304</v>
      </c>
      <c r="F38" s="229" t="s">
        <v>340</v>
      </c>
      <c r="G38" s="229" t="s">
        <v>345</v>
      </c>
      <c r="H38" s="229" t="s">
        <v>314</v>
      </c>
      <c r="I38" s="229" t="s">
        <v>353</v>
      </c>
      <c r="J38" s="229" t="s">
        <v>346</v>
      </c>
      <c r="K38" s="229" t="s">
        <v>297</v>
      </c>
      <c r="L38" s="229" t="s">
        <v>307</v>
      </c>
      <c r="M38" s="229" t="s">
        <v>315</v>
      </c>
      <c r="N38" s="229" t="s">
        <v>347</v>
      </c>
      <c r="O38" s="229" t="s">
        <v>347</v>
      </c>
      <c r="P38" s="285">
        <v>0</v>
      </c>
    </row>
    <row r="40" spans="1:16" x14ac:dyDescent="0.25">
      <c r="A40" s="281">
        <v>0.1</v>
      </c>
    </row>
    <row r="41" spans="1:16" x14ac:dyDescent="0.25">
      <c r="A41" s="196" t="s">
        <v>319</v>
      </c>
      <c r="B41" s="252">
        <v>-30</v>
      </c>
      <c r="C41" s="252">
        <v>-20</v>
      </c>
      <c r="D41" s="252">
        <v>-10</v>
      </c>
      <c r="E41" s="252">
        <v>0</v>
      </c>
      <c r="F41" s="252">
        <v>10</v>
      </c>
      <c r="G41" s="252">
        <v>20</v>
      </c>
      <c r="H41" s="252">
        <v>30</v>
      </c>
      <c r="I41" s="252">
        <v>40</v>
      </c>
      <c r="J41" s="252">
        <v>45</v>
      </c>
      <c r="K41" s="252">
        <v>50</v>
      </c>
      <c r="L41" s="252">
        <v>60</v>
      </c>
      <c r="M41" s="252">
        <v>70</v>
      </c>
      <c r="N41" s="252">
        <v>80</v>
      </c>
      <c r="O41" s="252">
        <v>90</v>
      </c>
      <c r="P41" s="229" t="s">
        <v>320</v>
      </c>
    </row>
    <row r="42" spans="1:16" x14ac:dyDescent="0.25">
      <c r="A42" s="283">
        <v>0</v>
      </c>
      <c r="B42" s="229" t="s">
        <v>259</v>
      </c>
      <c r="C42" s="229" t="s">
        <v>263</v>
      </c>
      <c r="D42" s="229" t="s">
        <v>349</v>
      </c>
      <c r="E42" s="229" t="s">
        <v>248</v>
      </c>
      <c r="F42" s="229" t="s">
        <v>248</v>
      </c>
      <c r="G42" s="229" t="s">
        <v>349</v>
      </c>
      <c r="H42" s="229" t="s">
        <v>252</v>
      </c>
      <c r="I42" s="229" t="s">
        <v>272</v>
      </c>
      <c r="J42" s="229" t="s">
        <v>268</v>
      </c>
      <c r="K42" s="229" t="s">
        <v>245</v>
      </c>
      <c r="L42" s="229" t="s">
        <v>354</v>
      </c>
      <c r="M42" s="229" t="s">
        <v>293</v>
      </c>
      <c r="N42" s="229" t="s">
        <v>308</v>
      </c>
      <c r="O42" s="229" t="s">
        <v>314</v>
      </c>
      <c r="P42" s="285">
        <v>90</v>
      </c>
    </row>
    <row r="43" spans="1:16" x14ac:dyDescent="0.25">
      <c r="A43" s="283">
        <v>10</v>
      </c>
      <c r="B43" s="229" t="s">
        <v>276</v>
      </c>
      <c r="C43" s="229" t="s">
        <v>350</v>
      </c>
      <c r="D43" s="229" t="s">
        <v>262</v>
      </c>
      <c r="E43" s="229" t="s">
        <v>260</v>
      </c>
      <c r="F43" s="229" t="s">
        <v>270</v>
      </c>
      <c r="G43" s="229" t="s">
        <v>251</v>
      </c>
      <c r="H43" s="229" t="s">
        <v>277</v>
      </c>
      <c r="I43" s="229" t="s">
        <v>259</v>
      </c>
      <c r="J43" s="229" t="s">
        <v>283</v>
      </c>
      <c r="K43" s="229" t="s">
        <v>275</v>
      </c>
      <c r="L43" s="229" t="s">
        <v>280</v>
      </c>
      <c r="M43" s="229" t="s">
        <v>287</v>
      </c>
      <c r="N43" s="229" t="s">
        <v>308</v>
      </c>
      <c r="O43" s="229" t="s">
        <v>314</v>
      </c>
      <c r="P43" s="285">
        <v>80</v>
      </c>
    </row>
    <row r="44" spans="1:16" x14ac:dyDescent="0.25">
      <c r="A44" s="283">
        <v>20</v>
      </c>
      <c r="B44" s="229" t="s">
        <v>254</v>
      </c>
      <c r="C44" s="229" t="s">
        <v>324</v>
      </c>
      <c r="D44" s="229" t="s">
        <v>263</v>
      </c>
      <c r="E44" s="229" t="s">
        <v>269</v>
      </c>
      <c r="F44" s="229" t="s">
        <v>269</v>
      </c>
      <c r="G44" s="229" t="s">
        <v>252</v>
      </c>
      <c r="H44" s="229" t="s">
        <v>264</v>
      </c>
      <c r="I44" s="229" t="s">
        <v>268</v>
      </c>
      <c r="J44" s="229" t="s">
        <v>333</v>
      </c>
      <c r="K44" s="229" t="s">
        <v>330</v>
      </c>
      <c r="L44" s="229" t="s">
        <v>328</v>
      </c>
      <c r="M44" s="229" t="s">
        <v>301</v>
      </c>
      <c r="N44" s="229" t="s">
        <v>318</v>
      </c>
      <c r="O44" s="229" t="s">
        <v>314</v>
      </c>
      <c r="P44" s="285">
        <v>70</v>
      </c>
    </row>
    <row r="45" spans="1:16" x14ac:dyDescent="0.25">
      <c r="A45" s="283">
        <v>30</v>
      </c>
      <c r="B45" s="229" t="s">
        <v>258</v>
      </c>
      <c r="C45" s="229" t="s">
        <v>268</v>
      </c>
      <c r="D45" s="229" t="s">
        <v>246</v>
      </c>
      <c r="E45" s="229" t="s">
        <v>253</v>
      </c>
      <c r="F45" s="229" t="s">
        <v>253</v>
      </c>
      <c r="G45" s="229" t="s">
        <v>324</v>
      </c>
      <c r="H45" s="229" t="s">
        <v>276</v>
      </c>
      <c r="I45" s="229" t="s">
        <v>273</v>
      </c>
      <c r="J45" s="229" t="s">
        <v>330</v>
      </c>
      <c r="K45" s="229" t="s">
        <v>335</v>
      </c>
      <c r="L45" s="229" t="s">
        <v>338</v>
      </c>
      <c r="M45" s="229" t="s">
        <v>300</v>
      </c>
      <c r="N45" s="229" t="s">
        <v>334</v>
      </c>
      <c r="O45" s="229" t="s">
        <v>314</v>
      </c>
      <c r="P45" s="285">
        <v>60</v>
      </c>
    </row>
    <row r="46" spans="1:16" x14ac:dyDescent="0.25">
      <c r="A46" s="283">
        <v>40</v>
      </c>
      <c r="B46" s="229" t="s">
        <v>329</v>
      </c>
      <c r="C46" s="229" t="s">
        <v>279</v>
      </c>
      <c r="D46" s="229" t="s">
        <v>333</v>
      </c>
      <c r="E46" s="229" t="s">
        <v>283</v>
      </c>
      <c r="F46" s="229" t="s">
        <v>283</v>
      </c>
      <c r="G46" s="229" t="s">
        <v>265</v>
      </c>
      <c r="H46" s="229" t="s">
        <v>275</v>
      </c>
      <c r="I46" s="229" t="s">
        <v>325</v>
      </c>
      <c r="J46" s="229" t="s">
        <v>329</v>
      </c>
      <c r="K46" s="229" t="s">
        <v>294</v>
      </c>
      <c r="L46" s="229" t="s">
        <v>256</v>
      </c>
      <c r="M46" s="229" t="s">
        <v>332</v>
      </c>
      <c r="N46" s="229" t="s">
        <v>317</v>
      </c>
      <c r="O46" s="229" t="s">
        <v>314</v>
      </c>
      <c r="P46" s="285">
        <v>50</v>
      </c>
    </row>
    <row r="47" spans="1:16" x14ac:dyDescent="0.25">
      <c r="A47" s="283">
        <v>50</v>
      </c>
      <c r="B47" s="229" t="s">
        <v>282</v>
      </c>
      <c r="C47" s="229" t="s">
        <v>294</v>
      </c>
      <c r="D47" s="229" t="s">
        <v>255</v>
      </c>
      <c r="E47" s="229" t="s">
        <v>285</v>
      </c>
      <c r="F47" s="229" t="s">
        <v>325</v>
      </c>
      <c r="G47" s="229" t="s">
        <v>285</v>
      </c>
      <c r="H47" s="229" t="s">
        <v>329</v>
      </c>
      <c r="I47" s="229" t="s">
        <v>328</v>
      </c>
      <c r="J47" s="229" t="s">
        <v>331</v>
      </c>
      <c r="K47" s="229" t="s">
        <v>339</v>
      </c>
      <c r="L47" s="229" t="s">
        <v>288</v>
      </c>
      <c r="M47" s="229" t="s">
        <v>348</v>
      </c>
      <c r="N47" s="229" t="s">
        <v>316</v>
      </c>
      <c r="O47" s="229" t="s">
        <v>314</v>
      </c>
      <c r="P47" s="285">
        <v>40</v>
      </c>
    </row>
    <row r="48" spans="1:16" x14ac:dyDescent="0.25">
      <c r="A48" s="283">
        <v>60</v>
      </c>
      <c r="B48" s="229" t="s">
        <v>296</v>
      </c>
      <c r="C48" s="229" t="s">
        <v>293</v>
      </c>
      <c r="D48" s="229" t="s">
        <v>336</v>
      </c>
      <c r="E48" s="229" t="s">
        <v>289</v>
      </c>
      <c r="F48" s="229" t="s">
        <v>282</v>
      </c>
      <c r="G48" s="229" t="s">
        <v>289</v>
      </c>
      <c r="H48" s="229" t="s">
        <v>336</v>
      </c>
      <c r="I48" s="229" t="s">
        <v>281</v>
      </c>
      <c r="J48" s="229" t="s">
        <v>301</v>
      </c>
      <c r="K48" s="229" t="s">
        <v>302</v>
      </c>
      <c r="L48" s="229" t="s">
        <v>299</v>
      </c>
      <c r="M48" s="229" t="s">
        <v>318</v>
      </c>
      <c r="N48" s="229" t="s">
        <v>315</v>
      </c>
      <c r="O48" s="229" t="s">
        <v>314</v>
      </c>
      <c r="P48" s="285">
        <v>30</v>
      </c>
    </row>
    <row r="49" spans="1:16" x14ac:dyDescent="0.25">
      <c r="A49" s="283">
        <v>70</v>
      </c>
      <c r="B49" s="229" t="s">
        <v>334</v>
      </c>
      <c r="C49" s="229" t="s">
        <v>355</v>
      </c>
      <c r="D49" s="229" t="s">
        <v>356</v>
      </c>
      <c r="E49" s="229" t="s">
        <v>299</v>
      </c>
      <c r="F49" s="229" t="s">
        <v>303</v>
      </c>
      <c r="G49" s="229" t="s">
        <v>332</v>
      </c>
      <c r="H49" s="229" t="s">
        <v>303</v>
      </c>
      <c r="I49" s="229" t="s">
        <v>309</v>
      </c>
      <c r="J49" s="229" t="s">
        <v>348</v>
      </c>
      <c r="K49" s="229" t="s">
        <v>257</v>
      </c>
      <c r="L49" s="229" t="s">
        <v>318</v>
      </c>
      <c r="M49" s="229" t="s">
        <v>316</v>
      </c>
      <c r="N49" s="229" t="s">
        <v>357</v>
      </c>
      <c r="O49" s="229" t="s">
        <v>314</v>
      </c>
      <c r="P49" s="285">
        <v>20</v>
      </c>
    </row>
    <row r="50" spans="1:16" x14ac:dyDescent="0.25">
      <c r="A50" s="283">
        <v>80</v>
      </c>
      <c r="B50" s="229" t="s">
        <v>314</v>
      </c>
      <c r="C50" s="229" t="s">
        <v>353</v>
      </c>
      <c r="D50" s="229" t="s">
        <v>297</v>
      </c>
      <c r="E50" s="229" t="s">
        <v>307</v>
      </c>
      <c r="F50" s="229" t="s">
        <v>315</v>
      </c>
      <c r="G50" s="229" t="s">
        <v>347</v>
      </c>
      <c r="H50" s="229" t="s">
        <v>347</v>
      </c>
      <c r="I50" s="229" t="s">
        <v>347</v>
      </c>
      <c r="J50" s="229" t="s">
        <v>315</v>
      </c>
      <c r="K50" s="229" t="s">
        <v>315</v>
      </c>
      <c r="L50" s="229" t="s">
        <v>307</v>
      </c>
      <c r="M50" s="229" t="s">
        <v>297</v>
      </c>
      <c r="N50" s="229" t="s">
        <v>353</v>
      </c>
      <c r="O50" s="229" t="s">
        <v>314</v>
      </c>
      <c r="P50" s="285">
        <v>10</v>
      </c>
    </row>
    <row r="51" spans="1:16" x14ac:dyDescent="0.25">
      <c r="A51" s="283">
        <v>90</v>
      </c>
      <c r="B51" s="229" t="s">
        <v>312</v>
      </c>
      <c r="C51" s="229" t="s">
        <v>352</v>
      </c>
      <c r="D51" s="229" t="s">
        <v>358</v>
      </c>
      <c r="E51" s="229" t="s">
        <v>304</v>
      </c>
      <c r="F51" s="229" t="s">
        <v>359</v>
      </c>
      <c r="G51" s="229" t="s">
        <v>340</v>
      </c>
      <c r="H51" s="229" t="s">
        <v>313</v>
      </c>
      <c r="I51" s="229" t="s">
        <v>305</v>
      </c>
      <c r="J51" s="229" t="s">
        <v>345</v>
      </c>
      <c r="K51" s="229" t="s">
        <v>360</v>
      </c>
      <c r="L51" s="229" t="s">
        <v>351</v>
      </c>
      <c r="M51" s="229" t="s">
        <v>351</v>
      </c>
      <c r="N51" s="229" t="s">
        <v>314</v>
      </c>
      <c r="O51" s="229" t="s">
        <v>314</v>
      </c>
      <c r="P51" s="285">
        <v>0</v>
      </c>
    </row>
    <row r="52" spans="1:16" x14ac:dyDescent="0.25">
      <c r="F52" s="276"/>
    </row>
    <row r="53" spans="1:16" x14ac:dyDescent="0.25">
      <c r="A53" s="281">
        <v>0</v>
      </c>
    </row>
    <row r="54" spans="1:16" x14ac:dyDescent="0.25">
      <c r="A54" s="229" t="s">
        <v>319</v>
      </c>
      <c r="B54" s="252">
        <v>-30</v>
      </c>
      <c r="C54" s="252">
        <v>-20</v>
      </c>
      <c r="D54" s="252">
        <v>-10</v>
      </c>
      <c r="E54" s="252">
        <v>0</v>
      </c>
      <c r="F54" s="252">
        <v>10</v>
      </c>
      <c r="G54" s="252">
        <v>20</v>
      </c>
      <c r="H54" s="252">
        <v>30</v>
      </c>
      <c r="I54" s="252">
        <v>40</v>
      </c>
      <c r="J54" s="252">
        <v>45</v>
      </c>
      <c r="K54" s="252">
        <v>50</v>
      </c>
      <c r="L54" s="252">
        <v>60</v>
      </c>
      <c r="M54" s="252">
        <v>70</v>
      </c>
      <c r="N54" s="252">
        <v>80</v>
      </c>
      <c r="O54" s="252">
        <v>90</v>
      </c>
      <c r="P54" s="229" t="s">
        <v>320</v>
      </c>
    </row>
    <row r="55" spans="1:16" x14ac:dyDescent="0.25">
      <c r="A55" s="283">
        <v>0</v>
      </c>
      <c r="B55" s="229" t="s">
        <v>253</v>
      </c>
      <c r="C55" s="229" t="s">
        <v>269</v>
      </c>
      <c r="D55" s="229" t="s">
        <v>260</v>
      </c>
      <c r="E55" s="229" t="s">
        <v>248</v>
      </c>
      <c r="F55" s="229" t="s">
        <v>260</v>
      </c>
      <c r="G55" s="229" t="s">
        <v>269</v>
      </c>
      <c r="H55" s="229" t="s">
        <v>253</v>
      </c>
      <c r="I55" s="229" t="s">
        <v>283</v>
      </c>
      <c r="J55" s="229" t="s">
        <v>275</v>
      </c>
      <c r="K55" s="229" t="s">
        <v>285</v>
      </c>
      <c r="L55" s="229" t="s">
        <v>289</v>
      </c>
      <c r="M55" s="229" t="s">
        <v>299</v>
      </c>
      <c r="N55" s="229" t="s">
        <v>307</v>
      </c>
      <c r="O55" s="229" t="s">
        <v>304</v>
      </c>
      <c r="P55" s="285">
        <v>90</v>
      </c>
    </row>
    <row r="56" spans="1:16" x14ac:dyDescent="0.25">
      <c r="A56" s="283">
        <v>10</v>
      </c>
      <c r="B56" s="229" t="s">
        <v>324</v>
      </c>
      <c r="C56" s="229" t="s">
        <v>247</v>
      </c>
      <c r="D56" s="229" t="s">
        <v>349</v>
      </c>
      <c r="E56" s="229" t="s">
        <v>260</v>
      </c>
      <c r="F56" s="229" t="s">
        <v>349</v>
      </c>
      <c r="G56" s="229" t="s">
        <v>247</v>
      </c>
      <c r="H56" s="229" t="s">
        <v>324</v>
      </c>
      <c r="I56" s="229" t="s">
        <v>265</v>
      </c>
      <c r="J56" s="229" t="s">
        <v>258</v>
      </c>
      <c r="K56" s="229" t="s">
        <v>335</v>
      </c>
      <c r="L56" s="229" t="s">
        <v>339</v>
      </c>
      <c r="M56" s="229" t="s">
        <v>299</v>
      </c>
      <c r="N56" s="229" t="s">
        <v>307</v>
      </c>
      <c r="O56" s="229" t="s">
        <v>304</v>
      </c>
      <c r="P56" s="285">
        <v>80</v>
      </c>
    </row>
    <row r="57" spans="1:16" x14ac:dyDescent="0.25">
      <c r="A57" s="283">
        <v>20</v>
      </c>
      <c r="B57" s="229" t="s">
        <v>284</v>
      </c>
      <c r="C57" s="229" t="s">
        <v>271</v>
      </c>
      <c r="D57" s="229" t="s">
        <v>247</v>
      </c>
      <c r="E57" s="229" t="s">
        <v>269</v>
      </c>
      <c r="F57" s="229" t="s">
        <v>247</v>
      </c>
      <c r="G57" s="229" t="s">
        <v>271</v>
      </c>
      <c r="H57" s="229" t="s">
        <v>284</v>
      </c>
      <c r="I57" s="229" t="s">
        <v>245</v>
      </c>
      <c r="J57" s="229" t="s">
        <v>267</v>
      </c>
      <c r="K57" s="229" t="s">
        <v>266</v>
      </c>
      <c r="L57" s="229" t="s">
        <v>256</v>
      </c>
      <c r="M57" s="229" t="s">
        <v>356</v>
      </c>
      <c r="N57" s="229" t="s">
        <v>357</v>
      </c>
      <c r="O57" s="229" t="s">
        <v>304</v>
      </c>
      <c r="P57" s="285">
        <v>70</v>
      </c>
    </row>
    <row r="58" spans="1:16" x14ac:dyDescent="0.25">
      <c r="A58" s="283">
        <v>30</v>
      </c>
      <c r="B58" s="229" t="s">
        <v>265</v>
      </c>
      <c r="C58" s="229" t="s">
        <v>284</v>
      </c>
      <c r="D58" s="229" t="s">
        <v>324</v>
      </c>
      <c r="E58" s="229" t="s">
        <v>253</v>
      </c>
      <c r="F58" s="229" t="s">
        <v>324</v>
      </c>
      <c r="G58" s="229" t="s">
        <v>284</v>
      </c>
      <c r="H58" s="229" t="s">
        <v>265</v>
      </c>
      <c r="I58" s="229" t="s">
        <v>267</v>
      </c>
      <c r="J58" s="229" t="s">
        <v>329</v>
      </c>
      <c r="K58" s="229" t="s">
        <v>328</v>
      </c>
      <c r="L58" s="229" t="s">
        <v>287</v>
      </c>
      <c r="M58" s="229" t="s">
        <v>257</v>
      </c>
      <c r="N58" s="229" t="s">
        <v>297</v>
      </c>
      <c r="O58" s="229" t="s">
        <v>304</v>
      </c>
      <c r="P58" s="285">
        <v>60</v>
      </c>
    </row>
    <row r="59" spans="1:16" x14ac:dyDescent="0.25">
      <c r="A59" s="283">
        <v>40</v>
      </c>
      <c r="B59" s="229" t="s">
        <v>267</v>
      </c>
      <c r="C59" s="229" t="s">
        <v>245</v>
      </c>
      <c r="D59" s="229" t="s">
        <v>265</v>
      </c>
      <c r="E59" s="229" t="s">
        <v>283</v>
      </c>
      <c r="F59" s="229" t="s">
        <v>265</v>
      </c>
      <c r="G59" s="229" t="s">
        <v>245</v>
      </c>
      <c r="H59" s="229" t="s">
        <v>267</v>
      </c>
      <c r="I59" s="229" t="s">
        <v>354</v>
      </c>
      <c r="J59" s="229" t="s">
        <v>286</v>
      </c>
      <c r="K59" s="229" t="s">
        <v>339</v>
      </c>
      <c r="L59" s="229" t="s">
        <v>296</v>
      </c>
      <c r="M59" s="229" t="s">
        <v>318</v>
      </c>
      <c r="N59" s="229" t="s">
        <v>353</v>
      </c>
      <c r="O59" s="229" t="s">
        <v>304</v>
      </c>
      <c r="P59" s="285">
        <v>50</v>
      </c>
    </row>
    <row r="60" spans="1:16" x14ac:dyDescent="0.25">
      <c r="A60" s="283">
        <v>50</v>
      </c>
      <c r="B60" s="229" t="s">
        <v>328</v>
      </c>
      <c r="C60" s="229" t="s">
        <v>266</v>
      </c>
      <c r="D60" s="229" t="s">
        <v>335</v>
      </c>
      <c r="E60" s="229" t="s">
        <v>285</v>
      </c>
      <c r="F60" s="229" t="s">
        <v>335</v>
      </c>
      <c r="G60" s="229" t="s">
        <v>266</v>
      </c>
      <c r="H60" s="229" t="s">
        <v>328</v>
      </c>
      <c r="I60" s="229" t="s">
        <v>339</v>
      </c>
      <c r="J60" s="229" t="s">
        <v>281</v>
      </c>
      <c r="K60" s="229" t="s">
        <v>288</v>
      </c>
      <c r="L60" s="229" t="s">
        <v>356</v>
      </c>
      <c r="M60" s="229" t="s">
        <v>298</v>
      </c>
      <c r="N60" s="229" t="s">
        <v>361</v>
      </c>
      <c r="O60" s="229" t="s">
        <v>304</v>
      </c>
      <c r="P60" s="285">
        <v>40</v>
      </c>
    </row>
    <row r="61" spans="1:16" x14ac:dyDescent="0.25">
      <c r="A61" s="283">
        <v>60</v>
      </c>
      <c r="B61" s="229" t="s">
        <v>287</v>
      </c>
      <c r="C61" s="229" t="s">
        <v>256</v>
      </c>
      <c r="D61" s="229" t="s">
        <v>339</v>
      </c>
      <c r="E61" s="229" t="s">
        <v>289</v>
      </c>
      <c r="F61" s="229" t="s">
        <v>339</v>
      </c>
      <c r="G61" s="229" t="s">
        <v>256</v>
      </c>
      <c r="H61" s="229" t="s">
        <v>287</v>
      </c>
      <c r="I61" s="229" t="s">
        <v>296</v>
      </c>
      <c r="J61" s="229" t="s">
        <v>303</v>
      </c>
      <c r="K61" s="229" t="s">
        <v>356</v>
      </c>
      <c r="L61" s="229" t="s">
        <v>334</v>
      </c>
      <c r="M61" s="229" t="s">
        <v>307</v>
      </c>
      <c r="N61" s="229" t="s">
        <v>351</v>
      </c>
      <c r="O61" s="229" t="s">
        <v>304</v>
      </c>
      <c r="P61" s="285">
        <v>30</v>
      </c>
    </row>
    <row r="62" spans="1:16" x14ac:dyDescent="0.25">
      <c r="A62" s="283">
        <v>70</v>
      </c>
      <c r="B62" s="229" t="s">
        <v>257</v>
      </c>
      <c r="C62" s="229" t="s">
        <v>356</v>
      </c>
      <c r="D62" s="229" t="s">
        <v>299</v>
      </c>
      <c r="E62" s="229" t="s">
        <v>299</v>
      </c>
      <c r="F62" s="229" t="s">
        <v>299</v>
      </c>
      <c r="G62" s="229" t="s">
        <v>356</v>
      </c>
      <c r="H62" s="229" t="s">
        <v>257</v>
      </c>
      <c r="I62" s="229" t="s">
        <v>318</v>
      </c>
      <c r="J62" s="229" t="s">
        <v>341</v>
      </c>
      <c r="K62" s="229" t="s">
        <v>298</v>
      </c>
      <c r="L62" s="229" t="s">
        <v>307</v>
      </c>
      <c r="M62" s="229" t="s">
        <v>306</v>
      </c>
      <c r="N62" s="229" t="s">
        <v>305</v>
      </c>
      <c r="O62" s="229" t="s">
        <v>304</v>
      </c>
      <c r="P62" s="285">
        <v>20</v>
      </c>
    </row>
    <row r="63" spans="1:16" x14ac:dyDescent="0.25">
      <c r="A63" s="283">
        <v>80</v>
      </c>
      <c r="B63" s="229" t="s">
        <v>297</v>
      </c>
      <c r="C63" s="229" t="s">
        <v>357</v>
      </c>
      <c r="D63" s="229" t="s">
        <v>307</v>
      </c>
      <c r="E63" s="229" t="s">
        <v>307</v>
      </c>
      <c r="F63" s="229" t="s">
        <v>307</v>
      </c>
      <c r="G63" s="229" t="s">
        <v>357</v>
      </c>
      <c r="H63" s="229" t="s">
        <v>297</v>
      </c>
      <c r="I63" s="229" t="s">
        <v>353</v>
      </c>
      <c r="J63" s="229" t="s">
        <v>306</v>
      </c>
      <c r="K63" s="229" t="s">
        <v>361</v>
      </c>
      <c r="L63" s="229" t="s">
        <v>351</v>
      </c>
      <c r="M63" s="229" t="s">
        <v>305</v>
      </c>
      <c r="N63" s="229" t="s">
        <v>340</v>
      </c>
      <c r="O63" s="229" t="s">
        <v>304</v>
      </c>
      <c r="P63" s="285">
        <v>10</v>
      </c>
    </row>
    <row r="64" spans="1:16" x14ac:dyDescent="0.25">
      <c r="A64" s="283">
        <v>90</v>
      </c>
      <c r="B64" s="229" t="s">
        <v>304</v>
      </c>
      <c r="C64" s="229" t="s">
        <v>304</v>
      </c>
      <c r="D64" s="229" t="s">
        <v>304</v>
      </c>
      <c r="E64" s="229" t="s">
        <v>304</v>
      </c>
      <c r="F64" s="229" t="s">
        <v>304</v>
      </c>
      <c r="G64" s="229" t="s">
        <v>304</v>
      </c>
      <c r="H64" s="229" t="s">
        <v>304</v>
      </c>
      <c r="I64" s="229" t="s">
        <v>304</v>
      </c>
      <c r="J64" s="229" t="s">
        <v>304</v>
      </c>
      <c r="K64" s="229" t="s">
        <v>304</v>
      </c>
      <c r="L64" s="229" t="s">
        <v>304</v>
      </c>
      <c r="M64" s="229" t="s">
        <v>304</v>
      </c>
      <c r="N64" s="229" t="s">
        <v>304</v>
      </c>
      <c r="O64" s="229" t="s">
        <v>304</v>
      </c>
      <c r="P64" s="285">
        <v>0</v>
      </c>
    </row>
    <row r="68" spans="1:16" x14ac:dyDescent="0.25">
      <c r="A68" t="s">
        <v>319</v>
      </c>
      <c r="B68">
        <v>-30</v>
      </c>
      <c r="C68">
        <v>-20</v>
      </c>
      <c r="D68">
        <v>-10</v>
      </c>
      <c r="E68">
        <v>0</v>
      </c>
      <c r="F68">
        <v>10</v>
      </c>
      <c r="G68">
        <v>20</v>
      </c>
      <c r="H68">
        <v>30</v>
      </c>
      <c r="I68">
        <v>40</v>
      </c>
      <c r="J68">
        <v>45</v>
      </c>
      <c r="K68">
        <v>50</v>
      </c>
      <c r="L68">
        <v>60</v>
      </c>
      <c r="M68">
        <v>70</v>
      </c>
      <c r="N68">
        <v>80</v>
      </c>
      <c r="O68">
        <v>90</v>
      </c>
      <c r="P68" t="s">
        <v>320</v>
      </c>
    </row>
    <row r="69" spans="1:16" x14ac:dyDescent="0.25">
      <c r="A69">
        <v>0</v>
      </c>
      <c r="B69">
        <v>0.72</v>
      </c>
      <c r="C69">
        <v>0.84</v>
      </c>
      <c r="D69">
        <v>0.93</v>
      </c>
      <c r="E69">
        <v>1</v>
      </c>
      <c r="F69">
        <v>1.04</v>
      </c>
      <c r="G69">
        <v>1.04</v>
      </c>
      <c r="H69">
        <v>1.02</v>
      </c>
      <c r="I69">
        <v>0.96</v>
      </c>
      <c r="J69">
        <v>0.92</v>
      </c>
      <c r="K69">
        <v>0.87</v>
      </c>
      <c r="L69">
        <v>0.76</v>
      </c>
      <c r="M69">
        <v>0.62</v>
      </c>
      <c r="N69">
        <v>0.47</v>
      </c>
      <c r="O69">
        <v>0.3</v>
      </c>
      <c r="P69">
        <v>90</v>
      </c>
    </row>
    <row r="70" spans="1:16" x14ac:dyDescent="0.25">
      <c r="A70">
        <v>10</v>
      </c>
      <c r="B70">
        <v>0.7</v>
      </c>
      <c r="C70">
        <v>0.82</v>
      </c>
      <c r="D70">
        <v>0.92</v>
      </c>
      <c r="E70">
        <v>0.98</v>
      </c>
      <c r="F70">
        <v>1.02</v>
      </c>
      <c r="G70">
        <v>1.03</v>
      </c>
      <c r="H70">
        <v>1</v>
      </c>
      <c r="I70">
        <v>0.95</v>
      </c>
      <c r="J70">
        <v>0.91</v>
      </c>
      <c r="K70">
        <v>0.86</v>
      </c>
      <c r="L70">
        <v>0.75</v>
      </c>
      <c r="M70">
        <v>0.62</v>
      </c>
      <c r="N70">
        <v>0.47</v>
      </c>
      <c r="O70">
        <v>0.3</v>
      </c>
      <c r="P70">
        <v>80</v>
      </c>
    </row>
    <row r="71" spans="1:16" x14ac:dyDescent="0.25">
      <c r="A71">
        <v>20</v>
      </c>
      <c r="B71">
        <v>0.66</v>
      </c>
      <c r="C71">
        <v>0.78</v>
      </c>
      <c r="D71">
        <v>0.87</v>
      </c>
      <c r="E71">
        <v>0.94</v>
      </c>
      <c r="F71">
        <v>0.98</v>
      </c>
      <c r="G71">
        <v>0.99</v>
      </c>
      <c r="H71">
        <v>0.96</v>
      </c>
      <c r="I71">
        <v>0.91</v>
      </c>
      <c r="J71">
        <v>0.88</v>
      </c>
      <c r="K71">
        <v>0.83</v>
      </c>
      <c r="L71">
        <v>0.73</v>
      </c>
      <c r="M71">
        <v>0.6</v>
      </c>
      <c r="N71">
        <v>0.46</v>
      </c>
      <c r="O71">
        <v>0.3</v>
      </c>
      <c r="P71">
        <v>70</v>
      </c>
    </row>
    <row r="72" spans="1:16" x14ac:dyDescent="0.25">
      <c r="A72">
        <v>30</v>
      </c>
      <c r="B72">
        <v>0.6</v>
      </c>
      <c r="C72">
        <v>0.71</v>
      </c>
      <c r="D72">
        <v>0.8</v>
      </c>
      <c r="E72">
        <v>0.87</v>
      </c>
      <c r="F72">
        <v>0.9</v>
      </c>
      <c r="G72">
        <v>0.92</v>
      </c>
      <c r="H72">
        <v>0.9</v>
      </c>
      <c r="I72">
        <v>0.86</v>
      </c>
      <c r="J72">
        <v>0.82</v>
      </c>
      <c r="K72">
        <v>0.79</v>
      </c>
      <c r="L72">
        <v>0.69</v>
      </c>
      <c r="M72">
        <v>0.57999999999999996</v>
      </c>
      <c r="N72">
        <v>0.45</v>
      </c>
      <c r="O72">
        <v>0.3</v>
      </c>
      <c r="P72">
        <v>60</v>
      </c>
    </row>
    <row r="73" spans="1:16" x14ac:dyDescent="0.25">
      <c r="A73">
        <v>40</v>
      </c>
      <c r="B73">
        <v>0.51</v>
      </c>
      <c r="C73">
        <v>0.62</v>
      </c>
      <c r="D73">
        <v>0.7</v>
      </c>
      <c r="E73">
        <v>0.77</v>
      </c>
      <c r="F73">
        <v>0.81</v>
      </c>
      <c r="G73">
        <v>0.82</v>
      </c>
      <c r="H73">
        <v>0.81</v>
      </c>
      <c r="I73">
        <v>0.78</v>
      </c>
      <c r="J73">
        <v>0.75</v>
      </c>
      <c r="K73">
        <v>0.72</v>
      </c>
      <c r="L73">
        <v>0.64</v>
      </c>
      <c r="M73">
        <v>0.54</v>
      </c>
      <c r="N73">
        <v>0.43</v>
      </c>
      <c r="O73">
        <v>0.3</v>
      </c>
      <c r="P73">
        <v>50</v>
      </c>
    </row>
    <row r="74" spans="1:16" x14ac:dyDescent="0.25">
      <c r="A74">
        <v>50</v>
      </c>
      <c r="B74">
        <v>0.41</v>
      </c>
      <c r="C74">
        <v>0.5</v>
      </c>
      <c r="D74">
        <v>0.57999999999999996</v>
      </c>
      <c r="E74">
        <v>0.64</v>
      </c>
      <c r="F74">
        <v>0.69</v>
      </c>
      <c r="G74">
        <v>0.71</v>
      </c>
      <c r="H74">
        <v>0.71</v>
      </c>
      <c r="I74">
        <v>0.69</v>
      </c>
      <c r="J74">
        <v>0.67</v>
      </c>
      <c r="K74">
        <v>0.64</v>
      </c>
      <c r="L74">
        <v>0.57999999999999996</v>
      </c>
      <c r="M74">
        <v>0.5</v>
      </c>
      <c r="N74">
        <v>0.41</v>
      </c>
      <c r="O74">
        <v>0.3</v>
      </c>
      <c r="P74">
        <v>40</v>
      </c>
    </row>
    <row r="75" spans="1:16" x14ac:dyDescent="0.25">
      <c r="A75">
        <v>60</v>
      </c>
      <c r="B75">
        <v>0.28000000000000003</v>
      </c>
      <c r="C75">
        <v>0.37</v>
      </c>
      <c r="D75">
        <v>0.44</v>
      </c>
      <c r="E75">
        <v>0.5</v>
      </c>
      <c r="F75">
        <v>0.54</v>
      </c>
      <c r="G75">
        <v>0.56999999999999995</v>
      </c>
      <c r="H75">
        <v>0.57999999999999996</v>
      </c>
      <c r="I75">
        <v>0.57999999999999996</v>
      </c>
      <c r="J75">
        <v>0.56999999999999995</v>
      </c>
      <c r="K75">
        <v>0.55000000000000004</v>
      </c>
      <c r="L75">
        <v>0.51</v>
      </c>
      <c r="M75">
        <v>0.45</v>
      </c>
      <c r="N75">
        <v>0.38</v>
      </c>
      <c r="O75">
        <v>0.3</v>
      </c>
      <c r="P75">
        <v>30</v>
      </c>
    </row>
    <row r="76" spans="1:16" x14ac:dyDescent="0.25">
      <c r="A76">
        <v>70</v>
      </c>
      <c r="B76">
        <v>0.15</v>
      </c>
      <c r="C76">
        <v>0.22</v>
      </c>
      <c r="D76">
        <v>0.28000000000000003</v>
      </c>
      <c r="E76">
        <v>0.34</v>
      </c>
      <c r="F76">
        <v>0.39</v>
      </c>
      <c r="G76">
        <v>0.42</v>
      </c>
      <c r="H76">
        <v>0.45</v>
      </c>
      <c r="I76">
        <v>0.45</v>
      </c>
      <c r="J76">
        <v>0.45</v>
      </c>
      <c r="K76">
        <v>0.45</v>
      </c>
      <c r="L76">
        <v>0.43</v>
      </c>
      <c r="M76">
        <v>0.4</v>
      </c>
      <c r="N76">
        <v>0.35</v>
      </c>
      <c r="O76">
        <v>0.3</v>
      </c>
      <c r="P76">
        <v>20</v>
      </c>
    </row>
    <row r="77" spans="1:16" x14ac:dyDescent="0.25">
      <c r="A77">
        <v>80</v>
      </c>
      <c r="B77">
        <v>0</v>
      </c>
      <c r="C77">
        <v>0.06</v>
      </c>
      <c r="D77">
        <v>0.12</v>
      </c>
      <c r="E77">
        <v>0.17</v>
      </c>
      <c r="F77">
        <v>0.22</v>
      </c>
      <c r="G77">
        <v>0.27</v>
      </c>
      <c r="H77">
        <v>0.3</v>
      </c>
      <c r="I77">
        <v>0.33</v>
      </c>
      <c r="J77">
        <v>0.33</v>
      </c>
      <c r="K77">
        <v>0.34</v>
      </c>
      <c r="L77">
        <v>0.35</v>
      </c>
      <c r="M77">
        <v>0.34</v>
      </c>
      <c r="N77">
        <v>0.33</v>
      </c>
      <c r="O77">
        <v>0.3</v>
      </c>
      <c r="P77">
        <v>10</v>
      </c>
    </row>
    <row r="78" spans="1:16" x14ac:dyDescent="0.25">
      <c r="A78">
        <v>90</v>
      </c>
      <c r="B78">
        <v>-0.15</v>
      </c>
      <c r="C78">
        <v>-0.1</v>
      </c>
      <c r="D78">
        <v>-0.05</v>
      </c>
      <c r="E78">
        <v>0</v>
      </c>
      <c r="F78">
        <v>0.05</v>
      </c>
      <c r="G78">
        <v>0.1</v>
      </c>
      <c r="H78">
        <v>0.15</v>
      </c>
      <c r="I78">
        <v>0.19</v>
      </c>
      <c r="J78">
        <v>0.21</v>
      </c>
      <c r="K78">
        <v>0.23</v>
      </c>
      <c r="L78">
        <v>0.26</v>
      </c>
      <c r="M78">
        <v>0.28000000000000003</v>
      </c>
      <c r="N78">
        <v>0.3</v>
      </c>
      <c r="O78">
        <v>0.3</v>
      </c>
      <c r="P78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4</vt:i4>
      </vt:variant>
      <vt:variant>
        <vt:lpstr>Rangos con nombre</vt:lpstr>
      </vt:variant>
      <vt:variant>
        <vt:i4>2</vt:i4>
      </vt:variant>
    </vt:vector>
  </HeadingPairs>
  <TitlesOfParts>
    <vt:vector size="6" baseType="lpstr">
      <vt:lpstr>Pta. Buitra</vt:lpstr>
      <vt:lpstr>Cormorán</vt:lpstr>
      <vt:lpstr>CALCULO</vt:lpstr>
      <vt:lpstr>Tablas</vt:lpstr>
      <vt:lpstr>Cormorán!Área_de_impresión</vt:lpstr>
      <vt:lpstr>'Pta. Buitra'!Área_de_impresión</vt:lpstr>
    </vt:vector>
  </TitlesOfParts>
  <Company>FLL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Felipe Louzán Lago</dc:creator>
  <cp:lastModifiedBy>Martín Pérez Seoane</cp:lastModifiedBy>
  <dcterms:created xsi:type="dcterms:W3CDTF">2012-12-12T08:19:16Z</dcterms:created>
  <dcterms:modified xsi:type="dcterms:W3CDTF">2025-12-22T14:39:14Z</dcterms:modified>
</cp:coreProperties>
</file>