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17EAED89-CA38-476A-845F-79A379507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O" sheetId="3" r:id="rId1"/>
    <sheet name="Tablas" sheetId="4" state="hidden" r:id="rId2"/>
  </sheets>
  <externalReferences>
    <externalReference r:id="rId3"/>
  </externalReferences>
  <definedNames>
    <definedName name="CH">[1]Est!$B$2</definedName>
  </definedNames>
  <calcPr calcId="191029" iterate="1" iterateCount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3" l="1" a="1"/>
  <c r="C66" i="3"/>
  <c r="C76" i="3"/>
  <c r="C75" i="3"/>
  <c r="C74" i="3"/>
  <c r="D86" i="3"/>
  <c r="N86" i="3"/>
  <c r="D87" i="3"/>
  <c r="N87" i="3"/>
  <c r="D88" i="3"/>
  <c r="N88" i="3"/>
  <c r="D89" i="3"/>
  <c r="N89" i="3"/>
  <c r="D90" i="3"/>
  <c r="N90" i="3"/>
  <c r="D91" i="3"/>
  <c r="N91" i="3"/>
  <c r="N92" i="3"/>
  <c r="H110" i="3"/>
  <c r="D109" i="3"/>
  <c r="E109" i="3"/>
  <c r="D93" i="3"/>
  <c r="N93" i="3"/>
  <c r="D94" i="3"/>
  <c r="N94" i="3"/>
  <c r="D95" i="3"/>
  <c r="N95" i="3"/>
  <c r="D96" i="3"/>
  <c r="N96" i="3"/>
  <c r="D97" i="3"/>
  <c r="N97" i="3"/>
  <c r="D98" i="3"/>
  <c r="N98" i="3"/>
  <c r="N99" i="3"/>
  <c r="G109" i="3"/>
  <c r="I109" i="3"/>
  <c r="C81" i="3"/>
  <c r="D81" i="3"/>
  <c r="F75" i="3"/>
  <c r="H75" i="3"/>
  <c r="I75" i="3"/>
  <c r="E81" i="3"/>
  <c r="F77" i="3"/>
  <c r="H77" i="3"/>
  <c r="I77" i="3"/>
  <c r="F81" i="3"/>
  <c r="G81" i="3"/>
  <c r="K109" i="3"/>
  <c r="L86" i="3" a="1"/>
  <c r="L86" i="3"/>
  <c r="M86" i="3"/>
  <c r="L87" i="3" a="1"/>
  <c r="L87" i="3"/>
  <c r="M87" i="3"/>
  <c r="L88" i="3" a="1"/>
  <c r="L88" i="3"/>
  <c r="M88" i="3"/>
  <c r="L89" i="3" a="1"/>
  <c r="L89" i="3"/>
  <c r="M89" i="3"/>
  <c r="L90" i="3" a="1"/>
  <c r="L90" i="3"/>
  <c r="M90" i="3"/>
  <c r="L91" i="3" a="1"/>
  <c r="L91" i="3"/>
  <c r="M91" i="3"/>
  <c r="L93" i="3" a="1"/>
  <c r="L93" i="3"/>
  <c r="M93" i="3"/>
  <c r="L94" i="3" a="1"/>
  <c r="L94" i="3"/>
  <c r="M94" i="3"/>
  <c r="L95" i="3" a="1"/>
  <c r="L95" i="3"/>
  <c r="M95" i="3"/>
  <c r="L96" i="3" a="1"/>
  <c r="L96" i="3"/>
  <c r="M96" i="3"/>
  <c r="L97" i="3" a="1"/>
  <c r="L97" i="3"/>
  <c r="M97" i="3"/>
  <c r="L98" i="3" a="1"/>
  <c r="L98" i="3"/>
  <c r="M98" i="3"/>
  <c r="D100" i="3"/>
  <c r="I107" i="3"/>
  <c r="G100" i="3"/>
  <c r="I106" i="3"/>
  <c r="I93" i="3" a="1"/>
  <c r="I93" i="3"/>
  <c r="K93" i="3"/>
  <c r="I94" i="3" a="1"/>
  <c r="I94" i="3"/>
  <c r="K94" i="3"/>
  <c r="I95" i="3" a="1"/>
  <c r="I95" i="3"/>
  <c r="K95" i="3"/>
  <c r="I96" i="3" a="1"/>
  <c r="I96" i="3"/>
  <c r="K96" i="3"/>
  <c r="I97" i="3" a="1"/>
  <c r="I97" i="3"/>
  <c r="K97" i="3"/>
  <c r="I98" i="3" a="1"/>
  <c r="I98" i="3"/>
  <c r="K98" i="3"/>
  <c r="K99" i="3"/>
  <c r="F104" i="3"/>
  <c r="D82" i="3"/>
  <c r="C82" i="3"/>
  <c r="G82" i="3"/>
  <c r="D80" i="3"/>
  <c r="C80" i="3"/>
  <c r="G74" i="3"/>
  <c r="H74" i="3"/>
  <c r="I74" i="3"/>
  <c r="E80" i="3"/>
  <c r="G76" i="3"/>
  <c r="H76" i="3"/>
  <c r="I76" i="3"/>
  <c r="F80" i="3"/>
  <c r="G80" i="3"/>
  <c r="I86" i="3" a="1"/>
  <c r="I86" i="3"/>
  <c r="K86" i="3"/>
  <c r="I87" i="3" a="1"/>
  <c r="I87" i="3"/>
  <c r="K87" i="3"/>
  <c r="I88" i="3" a="1"/>
  <c r="I88" i="3"/>
  <c r="K88" i="3"/>
  <c r="I89" i="3" a="1"/>
  <c r="I89" i="3"/>
  <c r="K89" i="3"/>
  <c r="I90" i="3" a="1"/>
  <c r="I90" i="3"/>
  <c r="K90" i="3"/>
  <c r="I91" i="3" a="1"/>
  <c r="I91" i="3"/>
  <c r="K91" i="3"/>
  <c r="K92" i="3"/>
  <c r="F105" i="3"/>
  <c r="K110" i="3"/>
  <c r="G106" i="3"/>
  <c r="D110" i="3"/>
  <c r="E110" i="3"/>
  <c r="I110" i="3"/>
  <c r="C106" i="3"/>
  <c r="D106" i="3"/>
  <c r="H106" i="3"/>
  <c r="K107" i="3"/>
  <c r="C107" i="3"/>
  <c r="D107" i="3"/>
  <c r="G107" i="3"/>
  <c r="H107" i="3"/>
  <c r="K106" i="3"/>
  <c r="C105" i="3"/>
  <c r="D105" i="3"/>
  <c r="K105" i="3"/>
  <c r="C104" i="3"/>
  <c r="D104" i="3"/>
  <c r="K104" i="3"/>
  <c r="K65" i="3"/>
  <c r="K66" i="3"/>
  <c r="K67" i="3"/>
  <c r="K68" i="3"/>
  <c r="K69" i="3"/>
  <c r="K70" i="3"/>
  <c r="K71" i="3"/>
  <c r="K64" i="3"/>
  <c r="L107" i="3"/>
  <c r="L106" i="3"/>
  <c r="L105" i="3"/>
  <c r="L10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<sst xmlns="http://schemas.openxmlformats.org/spreadsheetml/2006/main" count="893" uniqueCount="227">
  <si>
    <t>m</t>
  </si>
  <si>
    <t>Alternativo de trincaje:</t>
  </si>
  <si>
    <t>Buque:</t>
  </si>
  <si>
    <t>Corr Tb3</t>
  </si>
  <si>
    <t>Corr Tb4</t>
  </si>
  <si>
    <t>fr</t>
  </si>
  <si>
    <t>ax Tb2</t>
  </si>
  <si>
    <t>ay Tb2</t>
  </si>
  <si>
    <t>az Tb2</t>
  </si>
  <si>
    <t>Carga:</t>
  </si>
  <si>
    <t>e</t>
  </si>
  <si>
    <t>w</t>
  </si>
  <si>
    <t>h</t>
  </si>
  <si>
    <t>𝜇</t>
  </si>
  <si>
    <t>a</t>
  </si>
  <si>
    <t>b Br</t>
  </si>
  <si>
    <t>b Er</t>
  </si>
  <si>
    <t>Dispositivos de sujección:</t>
  </si>
  <si>
    <t>Grill/Tensor</t>
  </si>
  <si>
    <t>Cabo Fibra</t>
  </si>
  <si>
    <t>Cable 1 uso</t>
  </si>
  <si>
    <t>Cable Reut</t>
  </si>
  <si>
    <t>Fleje acero</t>
  </si>
  <si>
    <t>Cincha</t>
  </si>
  <si>
    <t>Bulldog Grip</t>
  </si>
  <si>
    <t>Madera</t>
  </si>
  <si>
    <t>Aceleraciones corregidas:</t>
  </si>
  <si>
    <t>ax</t>
  </si>
  <si>
    <t>ay</t>
  </si>
  <si>
    <t>az</t>
  </si>
  <si>
    <t>Fw(x)</t>
  </si>
  <si>
    <t>Fw(y)</t>
  </si>
  <si>
    <t>Fs(x)</t>
  </si>
  <si>
    <t>Fs(y)</t>
  </si>
  <si>
    <t>KN</t>
  </si>
  <si>
    <t>Fw y Fs:</t>
  </si>
  <si>
    <t>CR</t>
  </si>
  <si>
    <t>Tm/KN</t>
  </si>
  <si>
    <t>Tb1</t>
  </si>
  <si>
    <t>MSL</t>
  </si>
  <si>
    <t>=</t>
  </si>
  <si>
    <t>Fuerzas externas:</t>
  </si>
  <si>
    <t>Fx</t>
  </si>
  <si>
    <t>Fy</t>
  </si>
  <si>
    <t>Fz</t>
  </si>
  <si>
    <t>ac</t>
  </si>
  <si>
    <t>Fw</t>
  </si>
  <si>
    <t>Fs</t>
  </si>
  <si>
    <t>Fext (KN)</t>
  </si>
  <si>
    <t>Trincas y CS:</t>
  </si>
  <si>
    <t>1 Er</t>
  </si>
  <si>
    <t>2 Er</t>
  </si>
  <si>
    <t>3 Er</t>
  </si>
  <si>
    <t>4 Er</t>
  </si>
  <si>
    <t>5 Er</t>
  </si>
  <si>
    <t>6 Er</t>
  </si>
  <si>
    <t>1 Br</t>
  </si>
  <si>
    <t>2 Br</t>
  </si>
  <si>
    <t>3 Br</t>
  </si>
  <si>
    <t>4 Br</t>
  </si>
  <si>
    <t>5 Br</t>
  </si>
  <si>
    <t>6 Br</t>
  </si>
  <si>
    <t>CS</t>
  </si>
  <si>
    <t>c</t>
  </si>
  <si>
    <t>α</t>
  </si>
  <si>
    <t>β</t>
  </si>
  <si>
    <t>Pr/Pp</t>
  </si>
  <si>
    <t>fy</t>
  </si>
  <si>
    <t>CS*fy</t>
  </si>
  <si>
    <t>fx</t>
  </si>
  <si>
    <t>CS*fx</t>
  </si>
  <si>
    <t>CS*c</t>
  </si>
  <si>
    <t>ΣCS*fy</t>
  </si>
  <si>
    <t>ΣCS*fx; Pr  =</t>
  </si>
  <si>
    <t>ΣCS*fx; Pp  =</t>
  </si>
  <si>
    <t>Equilibrio de fuerzas y momentos:</t>
  </si>
  <si>
    <t>Des.Trans. Er</t>
  </si>
  <si>
    <t>Des.Trans. Br</t>
  </si>
  <si>
    <t>g</t>
  </si>
  <si>
    <t>fz</t>
  </si>
  <si>
    <t>fz*FZ</t>
  </si>
  <si>
    <t>ΣCS*fx</t>
  </si>
  <si>
    <t>F.ext</t>
  </si>
  <si>
    <t>OK/No OK</t>
  </si>
  <si>
    <t>Vuelco Trans. Er</t>
  </si>
  <si>
    <t>Vuelco Trans. Br</t>
  </si>
  <si>
    <t>b</t>
  </si>
  <si>
    <t>0,9ΣCS*c Er</t>
  </si>
  <si>
    <t>0,9ΣCS*c Br</t>
  </si>
  <si>
    <t>Fy*a</t>
  </si>
  <si>
    <r>
      <t xml:space="preserve">Des. Long. </t>
    </r>
    <r>
      <rPr>
        <sz val="9"/>
        <rFont val="Arial"/>
        <family val="2"/>
      </rPr>
      <t>Pr</t>
    </r>
  </si>
  <si>
    <r>
      <t xml:space="preserve">Des. Long. </t>
    </r>
    <r>
      <rPr>
        <sz val="9"/>
        <rFont val="Arial"/>
        <family val="2"/>
      </rPr>
      <t>Pp</t>
    </r>
  </si>
  <si>
    <t>MSL (KN)</t>
  </si>
  <si>
    <t>ΣCS*c  Er   =</t>
  </si>
  <si>
    <t>ΣCS*c  Br   =</t>
  </si>
  <si>
    <t>ΣCS*fy Er</t>
  </si>
  <si>
    <t>ΣCS*fy Br</t>
  </si>
  <si>
    <t>Editar</t>
  </si>
  <si>
    <t>0.72</t>
  </si>
  <si>
    <t>0.84</t>
  </si>
  <si>
    <t>0.93</t>
  </si>
  <si>
    <t>1.00</t>
  </si>
  <si>
    <t>1.04</t>
  </si>
  <si>
    <t>1.02</t>
  </si>
  <si>
    <t>0.96</t>
  </si>
  <si>
    <t>0.92</t>
  </si>
  <si>
    <t>0.87</t>
  </si>
  <si>
    <t>0.76</t>
  </si>
  <si>
    <t>0.62</t>
  </si>
  <si>
    <t>0.47</t>
  </si>
  <si>
    <t>0.30</t>
  </si>
  <si>
    <t>0.70</t>
  </si>
  <si>
    <t>0.82</t>
  </si>
  <si>
    <t>0.98</t>
  </si>
  <si>
    <t>1.03</t>
  </si>
  <si>
    <t>0.95</t>
  </si>
  <si>
    <t>0.91</t>
  </si>
  <si>
    <t>0.86</t>
  </si>
  <si>
    <t>0.75</t>
  </si>
  <si>
    <t>0.60</t>
  </si>
  <si>
    <t>0.66</t>
  </si>
  <si>
    <t>0.78</t>
  </si>
  <si>
    <t>0.94</t>
  </si>
  <si>
    <t>0.99</t>
  </si>
  <si>
    <t>0.88</t>
  </si>
  <si>
    <t>0.83</t>
  </si>
  <si>
    <t>0.73</t>
  </si>
  <si>
    <t>0.46</t>
  </si>
  <si>
    <t>0.71</t>
  </si>
  <si>
    <t>0.80</t>
  </si>
  <si>
    <t>0.90</t>
  </si>
  <si>
    <t>0.79</t>
  </si>
  <si>
    <t>0.69</t>
  </si>
  <si>
    <t>0.58</t>
  </si>
  <si>
    <t>0.45</t>
  </si>
  <si>
    <t>0.51</t>
  </si>
  <si>
    <t>0.77</t>
  </si>
  <si>
    <t>0.81</t>
  </si>
  <si>
    <t>0.64</t>
  </si>
  <si>
    <t>0.54</t>
  </si>
  <si>
    <t>0.43</t>
  </si>
  <si>
    <t>0.41</t>
  </si>
  <si>
    <t>0.50</t>
  </si>
  <si>
    <t>0.67</t>
  </si>
  <si>
    <t>0.28</t>
  </si>
  <si>
    <t>0.37</t>
  </si>
  <si>
    <t>0.44</t>
  </si>
  <si>
    <t>0.57</t>
  </si>
  <si>
    <t>0.55</t>
  </si>
  <si>
    <t>0.38</t>
  </si>
  <si>
    <t>0.15</t>
  </si>
  <si>
    <t>0.22</t>
  </si>
  <si>
    <t>0.34</t>
  </si>
  <si>
    <t>0.39</t>
  </si>
  <si>
    <t>0.42</t>
  </si>
  <si>
    <t>0.40</t>
  </si>
  <si>
    <t>0.35</t>
  </si>
  <si>
    <t>0.00</t>
  </si>
  <si>
    <t>0.06</t>
  </si>
  <si>
    <t>0.12</t>
  </si>
  <si>
    <t>0.17</t>
  </si>
  <si>
    <t>0.27</t>
  </si>
  <si>
    <t>0.33</t>
  </si>
  <si>
    <t>-0.15</t>
  </si>
  <si>
    <t>-0.10</t>
  </si>
  <si>
    <t>-0.05</t>
  </si>
  <si>
    <t>0.05</t>
  </si>
  <si>
    <t>0.10</t>
  </si>
  <si>
    <t>0.19</t>
  </si>
  <si>
    <t>0.21</t>
  </si>
  <si>
    <t>0.23</t>
  </si>
  <si>
    <t>0.26</t>
  </si>
  <si>
    <t>β for fy</t>
  </si>
  <si>
    <t>β for fx</t>
  </si>
  <si>
    <t>1.05</t>
  </si>
  <si>
    <t>1.08</t>
  </si>
  <si>
    <t>1.07</t>
  </si>
  <si>
    <t>0.85</t>
  </si>
  <si>
    <t>0.65</t>
  </si>
  <si>
    <t>1.06</t>
  </si>
  <si>
    <t>1.01</t>
  </si>
  <si>
    <t>0.56</t>
  </si>
  <si>
    <t>0.61</t>
  </si>
  <si>
    <t>0.68</t>
  </si>
  <si>
    <t>0.53</t>
  </si>
  <si>
    <t>0.36</t>
  </si>
  <si>
    <t>0.74</t>
  </si>
  <si>
    <t>0.25</t>
  </si>
  <si>
    <t>0.63</t>
  </si>
  <si>
    <t>0.48</t>
  </si>
  <si>
    <t>0.18</t>
  </si>
  <si>
    <t>0.52</t>
  </si>
  <si>
    <t>0.49</t>
  </si>
  <si>
    <t>0.03</t>
  </si>
  <si>
    <t>0.24</t>
  </si>
  <si>
    <t>-0.20</t>
  </si>
  <si>
    <t>-0.14</t>
  </si>
  <si>
    <t>-0.07</t>
  </si>
  <si>
    <t>0.07</t>
  </si>
  <si>
    <t>0.14</t>
  </si>
  <si>
    <t>0.20</t>
  </si>
  <si>
    <t>0.31</t>
  </si>
  <si>
    <t>0.97</t>
  </si>
  <si>
    <t>0.89</t>
  </si>
  <si>
    <t>0.09</t>
  </si>
  <si>
    <t>-0.03</t>
  </si>
  <si>
    <t>0.13</t>
  </si>
  <si>
    <t>0.59</t>
  </si>
  <si>
    <t>0.29</t>
  </si>
  <si>
    <t>0.32</t>
  </si>
  <si>
    <t>0.16</t>
  </si>
  <si>
    <t>-0.02</t>
  </si>
  <si>
    <t>0.02</t>
  </si>
  <si>
    <t>0.08</t>
  </si>
  <si>
    <t>0.11</t>
  </si>
  <si>
    <t>-</t>
  </si>
  <si>
    <t xml:space="preserve"> </t>
  </si>
  <si>
    <t xml:space="preserve">  </t>
  </si>
  <si>
    <t>E</t>
  </si>
  <si>
    <t>V</t>
  </si>
  <si>
    <t>E/V</t>
  </si>
  <si>
    <t>F34="Tm")</t>
  </si>
  <si>
    <t>F33</t>
  </si>
  <si>
    <t>Tb 3</t>
  </si>
  <si>
    <t>fy / fx</t>
  </si>
  <si>
    <t>α/μ</t>
  </si>
  <si>
    <t>Distinto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</si>
</sst>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"/>
    <numFmt numFmtId="165" formatCode="0.0000"/>
    <numFmt numFmtId="166" formatCode="0.0"/>
    <numFmt numFmtId="167" formatCode="0.00000"/>
    <numFmt numFmtId="168" formatCode="#,##0.000"/>
  </numFmts>
  <fonts count="3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theme="1" tint="0.34998626667073579"/>
      <name val="Arial"/>
      <family val="2"/>
    </font>
    <font>
      <sz val="10"/>
      <color theme="4" tint="-0.249977111117893"/>
      <name val="Arial"/>
      <family val="2"/>
    </font>
    <font>
      <sz val="8"/>
      <name val="Arial"/>
    </font>
    <font>
      <sz val="10"/>
      <color rgb="FFFFFF99"/>
      <name val="Arial"/>
      <family val="2"/>
    </font>
    <font>
      <b/>
      <sz val="10"/>
      <color rgb="FFFFFF99"/>
      <name val="Arial"/>
      <family val="2"/>
    </font>
    <font>
      <sz val="9"/>
      <color rgb="FFFFFF9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6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6" tint="0.39997558519241921"/>
      </top>
      <bottom/>
      <diagonal/>
    </border>
  </borders>
  <cellStyleXfs count="45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11" borderId="1" applyNumberFormat="0" applyAlignment="0" applyProtection="0"/>
    <xf numFmtId="0" fontId="9" fillId="13" borderId="2" applyNumberFormat="0" applyAlignment="0" applyProtection="0"/>
    <xf numFmtId="0" fontId="10" fillId="0" borderId="3" applyNumberFormat="0" applyFill="0" applyAlignment="0" applyProtection="0"/>
    <xf numFmtId="0" fontId="11" fillId="1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15" fillId="3" borderId="1" applyNumberFormat="0" applyAlignment="0" applyProtection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7" applyNumberFormat="0" applyFont="0" applyAlignment="0" applyProtection="0"/>
    <xf numFmtId="0" fontId="19" fillId="11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0" fontId="23" fillId="26" borderId="0" xfId="0" applyFont="1" applyFill="1"/>
    <xf numFmtId="0" fontId="24" fillId="0" borderId="0" xfId="0" applyFont="1"/>
    <xf numFmtId="0" fontId="1" fillId="26" borderId="0" xfId="0" applyFont="1" applyFill="1"/>
    <xf numFmtId="0" fontId="0" fillId="26" borderId="0" xfId="0" applyFill="1"/>
    <xf numFmtId="164" fontId="24" fillId="0" borderId="0" xfId="0" applyNumberFormat="1" applyFont="1"/>
    <xf numFmtId="166" fontId="24" fillId="0" borderId="0" xfId="0" applyNumberFormat="1" applyFont="1"/>
    <xf numFmtId="2" fontId="24" fillId="0" borderId="0" xfId="0" applyNumberFormat="1" applyFont="1"/>
    <xf numFmtId="164" fontId="24" fillId="28" borderId="12" xfId="0" applyNumberFormat="1" applyFont="1" applyFill="1" applyBorder="1"/>
    <xf numFmtId="0" fontId="1" fillId="26" borderId="12" xfId="0" applyFont="1" applyFill="1" applyBorder="1"/>
    <xf numFmtId="0" fontId="1" fillId="26" borderId="13" xfId="0" applyFont="1" applyFill="1" applyBorder="1"/>
    <xf numFmtId="164" fontId="24" fillId="28" borderId="0" xfId="0" applyNumberFormat="1" applyFont="1" applyFill="1"/>
    <xf numFmtId="164" fontId="24" fillId="28" borderId="14" xfId="0" applyNumberFormat="1" applyFont="1" applyFill="1" applyBorder="1"/>
    <xf numFmtId="164" fontId="24" fillId="28" borderId="16" xfId="0" applyNumberFormat="1" applyFont="1" applyFill="1" applyBorder="1"/>
    <xf numFmtId="2" fontId="24" fillId="28" borderId="14" xfId="0" applyNumberFormat="1" applyFont="1" applyFill="1" applyBorder="1"/>
    <xf numFmtId="164" fontId="24" fillId="28" borderId="19" xfId="0" applyNumberFormat="1" applyFont="1" applyFill="1" applyBorder="1"/>
    <xf numFmtId="0" fontId="0" fillId="26" borderId="0" xfId="0" applyFill="1" applyAlignment="1">
      <alignment horizontal="right"/>
    </xf>
    <xf numFmtId="0" fontId="0" fillId="25" borderId="0" xfId="0" applyFill="1" applyAlignment="1">
      <alignment horizontal="right"/>
    </xf>
    <xf numFmtId="164" fontId="23" fillId="25" borderId="0" xfId="0" applyNumberFormat="1" applyFont="1" applyFill="1"/>
    <xf numFmtId="0" fontId="0" fillId="25" borderId="0" xfId="0" applyFill="1"/>
    <xf numFmtId="0" fontId="1" fillId="25" borderId="0" xfId="0" applyFont="1" applyFill="1" applyAlignment="1">
      <alignment horizontal="right"/>
    </xf>
    <xf numFmtId="2" fontId="24" fillId="25" borderId="0" xfId="0" applyNumberFormat="1" applyFont="1" applyFill="1"/>
    <xf numFmtId="0" fontId="0" fillId="25" borderId="12" xfId="0" applyFill="1" applyBorder="1"/>
    <xf numFmtId="0" fontId="1" fillId="28" borderId="12" xfId="0" applyFont="1" applyFill="1" applyBorder="1"/>
    <xf numFmtId="0" fontId="0" fillId="25" borderId="20" xfId="0" applyFill="1" applyBorder="1"/>
    <xf numFmtId="0" fontId="0" fillId="25" borderId="18" xfId="0" applyFill="1" applyBorder="1"/>
    <xf numFmtId="0" fontId="0" fillId="25" borderId="17" xfId="0" applyFill="1" applyBorder="1"/>
    <xf numFmtId="0" fontId="0" fillId="27" borderId="0" xfId="0" applyFill="1"/>
    <xf numFmtId="0" fontId="1" fillId="25" borderId="0" xfId="0" applyFont="1" applyFill="1"/>
    <xf numFmtId="0" fontId="23" fillId="25" borderId="0" xfId="0" applyFont="1" applyFill="1"/>
    <xf numFmtId="0" fontId="0" fillId="27" borderId="0" xfId="0" applyFill="1" applyAlignment="1">
      <alignment horizontal="right"/>
    </xf>
    <xf numFmtId="0" fontId="1" fillId="26" borderId="0" xfId="0" applyFont="1" applyFill="1" applyAlignment="1">
      <alignment horizontal="right"/>
    </xf>
    <xf numFmtId="0" fontId="0" fillId="26" borderId="0" xfId="0" applyFill="1" applyAlignment="1">
      <alignment vertical="center" readingOrder="1"/>
    </xf>
    <xf numFmtId="0" fontId="4" fillId="26" borderId="0" xfId="0" applyFont="1" applyFill="1"/>
    <xf numFmtId="0" fontId="24" fillId="30" borderId="0" xfId="0" applyFont="1" applyFill="1"/>
    <xf numFmtId="0" fontId="24" fillId="31" borderId="0" xfId="0" applyFont="1" applyFill="1"/>
    <xf numFmtId="0" fontId="22" fillId="26" borderId="0" xfId="0" applyFont="1" applyFill="1"/>
    <xf numFmtId="0" fontId="22" fillId="29" borderId="12" xfId="0" applyFont="1" applyFill="1" applyBorder="1"/>
    <xf numFmtId="2" fontId="24" fillId="30" borderId="0" xfId="0" applyNumberFormat="1" applyFont="1" applyFill="1"/>
    <xf numFmtId="166" fontId="24" fillId="31" borderId="0" xfId="0" applyNumberFormat="1" applyFont="1" applyFill="1"/>
    <xf numFmtId="0" fontId="0" fillId="28" borderId="0" xfId="0" applyFill="1"/>
    <xf numFmtId="166" fontId="24" fillId="25" borderId="0" xfId="0" applyNumberFormat="1" applyFont="1" applyFill="1"/>
    <xf numFmtId="166" fontId="1" fillId="26" borderId="0" xfId="0" applyNumberFormat="1" applyFont="1" applyFill="1"/>
    <xf numFmtId="0" fontId="23" fillId="32" borderId="0" xfId="0" applyFont="1" applyFill="1"/>
    <xf numFmtId="0" fontId="0" fillId="32" borderId="0" xfId="0" applyFill="1"/>
    <xf numFmtId="0" fontId="0" fillId="32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4" borderId="0" xfId="0" applyFill="1" applyAlignment="1">
      <alignment horizontal="right"/>
    </xf>
    <xf numFmtId="2" fontId="0" fillId="25" borderId="0" xfId="0" applyNumberFormat="1" applyFill="1"/>
    <xf numFmtId="0" fontId="24" fillId="35" borderId="0" xfId="0" applyFont="1" applyFill="1"/>
    <xf numFmtId="0" fontId="23" fillId="26" borderId="0" xfId="0" applyFont="1" applyFill="1" applyAlignment="1">
      <alignment horizontal="left" indent="3"/>
    </xf>
    <xf numFmtId="164" fontId="24" fillId="28" borderId="22" xfId="0" applyNumberFormat="1" applyFont="1" applyFill="1" applyBorder="1"/>
    <xf numFmtId="0" fontId="24" fillId="28" borderId="22" xfId="0" applyFont="1" applyFill="1" applyBorder="1"/>
    <xf numFmtId="0" fontId="26" fillId="27" borderId="20" xfId="0" applyFont="1" applyFill="1" applyBorder="1"/>
    <xf numFmtId="0" fontId="27" fillId="24" borderId="12" xfId="0" applyFont="1" applyFill="1" applyBorder="1"/>
    <xf numFmtId="0" fontId="0" fillId="27" borderId="20" xfId="0" applyFill="1" applyBorder="1"/>
    <xf numFmtId="166" fontId="24" fillId="28" borderId="21" xfId="0" applyNumberFormat="1" applyFont="1" applyFill="1" applyBorder="1"/>
    <xf numFmtId="166" fontId="24" fillId="28" borderId="12" xfId="0" applyNumberFormat="1" applyFont="1" applyFill="1" applyBorder="1"/>
    <xf numFmtId="166" fontId="24" fillId="28" borderId="23" xfId="0" applyNumberFormat="1" applyFont="1" applyFill="1" applyBorder="1"/>
    <xf numFmtId="166" fontId="23" fillId="25" borderId="19" xfId="0" applyNumberFormat="1" applyFont="1" applyFill="1" applyBorder="1"/>
    <xf numFmtId="166" fontId="23" fillId="25" borderId="0" xfId="0" applyNumberFormat="1" applyFont="1" applyFill="1"/>
    <xf numFmtId="0" fontId="1" fillId="26" borderId="0" xfId="43" applyFill="1"/>
    <xf numFmtId="0" fontId="22" fillId="26" borderId="12" xfId="0" applyFont="1" applyFill="1" applyBorder="1"/>
    <xf numFmtId="165" fontId="24" fillId="28" borderId="0" xfId="0" applyNumberFormat="1" applyFont="1" applyFill="1"/>
    <xf numFmtId="164" fontId="23" fillId="25" borderId="12" xfId="0" applyNumberFormat="1" applyFont="1" applyFill="1" applyBorder="1"/>
    <xf numFmtId="0" fontId="23" fillId="26" borderId="11" xfId="0" applyFont="1" applyFill="1" applyBorder="1"/>
    <xf numFmtId="0" fontId="1" fillId="26" borderId="11" xfId="0" applyFont="1" applyFill="1" applyBorder="1"/>
    <xf numFmtId="0" fontId="22" fillId="25" borderId="0" xfId="0" applyFont="1" applyFill="1" applyAlignment="1">
      <alignment horizontal="center" vertical="center"/>
    </xf>
    <xf numFmtId="0" fontId="24" fillId="28" borderId="12" xfId="0" applyFont="1" applyFill="1" applyBorder="1" applyAlignment="1">
      <alignment horizontal="right"/>
    </xf>
    <xf numFmtId="0" fontId="24" fillId="25" borderId="18" xfId="0" applyFont="1" applyFill="1" applyBorder="1"/>
    <xf numFmtId="0" fontId="1" fillId="32" borderId="12" xfId="0" applyFont="1" applyFill="1" applyBorder="1" applyAlignment="1">
      <alignment horizontal="center"/>
    </xf>
    <xf numFmtId="0" fontId="1" fillId="33" borderId="0" xfId="0" applyFont="1" applyFill="1"/>
    <xf numFmtId="0" fontId="1" fillId="34" borderId="0" xfId="0" applyFont="1" applyFill="1"/>
    <xf numFmtId="0" fontId="27" fillId="25" borderId="0" xfId="0" applyFont="1" applyFill="1"/>
    <xf numFmtId="167" fontId="24" fillId="28" borderId="0" xfId="0" applyNumberFormat="1" applyFont="1" applyFill="1"/>
    <xf numFmtId="165" fontId="24" fillId="0" borderId="0" xfId="0" applyNumberFormat="1" applyFont="1"/>
    <xf numFmtId="0" fontId="1" fillId="26" borderId="0" xfId="0" applyFont="1" applyFill="1" applyAlignment="1">
      <alignment horizontal="center"/>
    </xf>
    <xf numFmtId="0" fontId="25" fillId="24" borderId="12" xfId="0" applyFont="1" applyFill="1" applyBorder="1" applyProtection="1">
      <protection locked="0"/>
    </xf>
    <xf numFmtId="166" fontId="0" fillId="25" borderId="0" xfId="0" applyNumberFormat="1" applyFill="1"/>
    <xf numFmtId="0" fontId="0" fillId="27" borderId="15" xfId="0" applyFill="1" applyBorder="1"/>
    <xf numFmtId="0" fontId="0" fillId="27" borderId="14" xfId="0" applyFill="1" applyBorder="1"/>
    <xf numFmtId="0" fontId="25" fillId="24" borderId="0" xfId="0" applyFont="1" applyFill="1" applyProtection="1">
      <protection locked="0"/>
    </xf>
    <xf numFmtId="0" fontId="27" fillId="24" borderId="13" xfId="0" applyFont="1" applyFill="1" applyBorder="1" applyProtection="1">
      <protection locked="0"/>
    </xf>
    <xf numFmtId="166" fontId="27" fillId="24" borderId="12" xfId="0" applyNumberFormat="1" applyFont="1" applyFill="1" applyBorder="1" applyProtection="1">
      <protection locked="0"/>
    </xf>
    <xf numFmtId="164" fontId="27" fillId="24" borderId="12" xfId="0" applyNumberFormat="1" applyFont="1" applyFill="1" applyBorder="1" applyProtection="1">
      <protection locked="0"/>
    </xf>
    <xf numFmtId="164" fontId="0" fillId="27" borderId="20" xfId="0" applyNumberFormat="1" applyFill="1" applyBorder="1" applyProtection="1">
      <protection locked="0"/>
    </xf>
    <xf numFmtId="0" fontId="27" fillId="24" borderId="0" xfId="0" applyFont="1" applyFill="1" applyProtection="1">
      <protection locked="0"/>
    </xf>
    <xf numFmtId="0" fontId="27" fillId="24" borderId="12" xfId="0" applyFont="1" applyFill="1" applyBorder="1" applyProtection="1">
      <protection locked="0"/>
    </xf>
    <xf numFmtId="0" fontId="0" fillId="25" borderId="0" xfId="0" applyFill="1" applyProtection="1">
      <protection locked="0"/>
    </xf>
    <xf numFmtId="164" fontId="0" fillId="23" borderId="0" xfId="0" applyNumberFormat="1" applyFill="1" applyProtection="1">
      <protection locked="0"/>
    </xf>
    <xf numFmtId="0" fontId="0" fillId="23" borderId="0" xfId="0" applyFill="1" applyProtection="1">
      <protection locked="0"/>
    </xf>
    <xf numFmtId="2" fontId="24" fillId="0" borderId="10" xfId="0" applyNumberFormat="1" applyFont="1" applyBorder="1"/>
    <xf numFmtId="164" fontId="24" fillId="0" borderId="20" xfId="0" applyNumberFormat="1" applyFont="1" applyBorder="1"/>
    <xf numFmtId="2" fontId="24" fillId="0" borderId="19" xfId="0" applyNumberFormat="1" applyFont="1" applyBorder="1"/>
    <xf numFmtId="2" fontId="24" fillId="0" borderId="11" xfId="0" applyNumberFormat="1" applyFont="1" applyBorder="1"/>
    <xf numFmtId="0" fontId="24" fillId="28" borderId="0" xfId="0" applyFont="1" applyFill="1"/>
    <xf numFmtId="0" fontId="1" fillId="26" borderId="0" xfId="0" applyFont="1" applyFill="1" applyAlignment="1">
      <alignment vertical="center" readingOrder="1"/>
    </xf>
    <xf numFmtId="0" fontId="23" fillId="27" borderId="12" xfId="0" applyFont="1" applyFill="1" applyBorder="1" applyProtection="1">
      <protection locked="0"/>
    </xf>
    <xf numFmtId="2" fontId="24" fillId="35" borderId="0" xfId="0" applyNumberFormat="1" applyFont="1" applyFill="1"/>
    <xf numFmtId="0" fontId="22" fillId="36" borderId="0" xfId="0" applyFont="1" applyFill="1"/>
    <xf numFmtId="0" fontId="29" fillId="36" borderId="0" xfId="0" applyFont="1" applyFill="1"/>
    <xf numFmtId="2" fontId="25" fillId="24" borderId="12" xfId="0" applyNumberFormat="1" applyFont="1" applyFill="1" applyBorder="1" applyProtection="1">
      <protection locked="0"/>
    </xf>
    <xf numFmtId="0" fontId="30" fillId="36" borderId="0" xfId="0" applyFont="1" applyFill="1"/>
    <xf numFmtId="0" fontId="25" fillId="25" borderId="12" xfId="0" applyFont="1" applyFill="1" applyBorder="1" applyProtection="1">
      <protection locked="0"/>
    </xf>
    <xf numFmtId="0" fontId="22" fillId="29" borderId="0" xfId="0" applyFont="1" applyFill="1"/>
    <xf numFmtId="0" fontId="0" fillId="27" borderId="18" xfId="0" applyFill="1" applyBorder="1"/>
    <xf numFmtId="0" fontId="22" fillId="26" borderId="11" xfId="0" applyFont="1" applyFill="1" applyBorder="1"/>
    <xf numFmtId="0" fontId="0" fillId="26" borderId="0" xfId="0" applyFill="1" applyAlignment="1">
      <alignment horizontal="center"/>
    </xf>
    <xf numFmtId="0" fontId="3" fillId="26" borderId="0" xfId="0" applyFont="1" applyFill="1" applyAlignment="1">
      <alignment horizontal="center"/>
    </xf>
    <xf numFmtId="0" fontId="22" fillId="29" borderId="12" xfId="0" applyFont="1" applyFill="1" applyBorder="1" applyProtection="1">
      <protection locked="0"/>
    </xf>
    <xf numFmtId="165" fontId="0" fillId="27" borderId="10" xfId="0" applyNumberFormat="1" applyFill="1" applyBorder="1"/>
    <xf numFmtId="166" fontId="24" fillId="28" borderId="10" xfId="0" applyNumberFormat="1" applyFont="1" applyFill="1" applyBorder="1"/>
    <xf numFmtId="166" fontId="24" fillId="28" borderId="0" xfId="0" applyNumberFormat="1" applyFont="1" applyFill="1"/>
    <xf numFmtId="168" fontId="25" fillId="24" borderId="12" xfId="0" applyNumberFormat="1" applyFont="1" applyFill="1" applyBorder="1" applyProtection="1">
      <protection locked="0"/>
    </xf>
    <xf numFmtId="164" fontId="22" fillId="29" borderId="12" xfId="0" applyNumberFormat="1" applyFont="1" applyFill="1" applyBorder="1" applyProtection="1">
      <protection locked="0"/>
    </xf>
    <xf numFmtId="166" fontId="24" fillId="25" borderId="10" xfId="0" applyNumberFormat="1" applyFont="1" applyFill="1" applyBorder="1"/>
    <xf numFmtId="0" fontId="23" fillId="37" borderId="0" xfId="0" applyFont="1" applyFill="1"/>
    <xf numFmtId="0" fontId="23" fillId="37" borderId="13" xfId="0" applyFont="1" applyFill="1" applyBorder="1"/>
    <xf numFmtId="0" fontId="23" fillId="37" borderId="14" xfId="0" applyFont="1" applyFill="1" applyBorder="1"/>
    <xf numFmtId="164" fontId="27" fillId="24" borderId="13" xfId="0" applyNumberFormat="1" applyFont="1" applyFill="1" applyBorder="1" applyProtection="1">
      <protection locked="0"/>
    </xf>
    <xf numFmtId="164" fontId="24" fillId="28" borderId="10" xfId="0" applyNumberFormat="1" applyFont="1" applyFill="1" applyBorder="1"/>
    <xf numFmtId="166" fontId="0" fillId="26" borderId="0" xfId="0" applyNumberFormat="1" applyFill="1"/>
    <xf numFmtId="9" fontId="0" fillId="27" borderId="0" xfId="0" applyNumberFormat="1" applyFill="1"/>
    <xf numFmtId="0" fontId="3" fillId="37" borderId="0" xfId="0" applyFont="1" applyFill="1"/>
    <xf numFmtId="164" fontId="24" fillId="30" borderId="0" xfId="0" applyNumberFormat="1" applyFont="1" applyFill="1"/>
    <xf numFmtId="166" fontId="24" fillId="30" borderId="0" xfId="0" applyNumberFormat="1" applyFont="1" applyFill="1"/>
    <xf numFmtId="0" fontId="1" fillId="27" borderId="20" xfId="0" applyFont="1" applyFill="1" applyBorder="1"/>
    <xf numFmtId="0" fontId="31" fillId="36" borderId="0" xfId="0" applyFont="1" applyFill="1" applyAlignment="1">
      <alignment horizontal="center"/>
    </xf>
    <xf numFmtId="0" fontId="25" fillId="24" borderId="12" xfId="0" applyFont="1" applyFill="1" applyBorder="1" applyProtection="1"/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Advertencia" xfId="19" xr:uid="{00000000-0005-0000-0000-000012000000}"/>
    <cellStyle name="Calcular" xfId="20" xr:uid="{00000000-0005-0000-0000-000013000000}"/>
    <cellStyle name="Celda comprob." xfId="21" xr:uid="{00000000-0005-0000-0000-000014000000}"/>
    <cellStyle name="Celda vinculada" xfId="22" builtinId="24" customBuiltin="1"/>
    <cellStyle name="Correcto" xfId="23" xr:uid="{00000000-0005-0000-0000-000016000000}"/>
    <cellStyle name="Encabez. 1" xfId="24" xr:uid="{00000000-0005-0000-0000-000017000000}"/>
    <cellStyle name="Encabez. 2" xfId="25" xr:uid="{00000000-0005-0000-0000-000018000000}"/>
    <cellStyle name="Encabezado 3" xfId="26" xr:uid="{00000000-0005-0000-0000-000019000000}"/>
    <cellStyle name="Encabezado 4" xfId="27" builtinId="19" customBuiltin="1"/>
    <cellStyle name="Énfasis1" xfId="28" builtinId="29" customBuiltin="1"/>
    <cellStyle name="Énfasis2" xfId="29" builtinId="33" customBuiltin="1"/>
    <cellStyle name="Énfasis3" xfId="30" builtinId="37" customBuiltin="1"/>
    <cellStyle name="Énfasis4" xfId="31" builtinId="41" customBuiltin="1"/>
    <cellStyle name="Énfasis5" xfId="32" builtinId="45" customBuiltin="1"/>
    <cellStyle name="Énfasis6" xfId="33" builtinId="49" customBuiltin="1"/>
    <cellStyle name="Entrada" xfId="34" builtinId="20" customBuiltin="1"/>
    <cellStyle name="Euro" xfId="35" xr:uid="{00000000-0005-0000-0000-000022000000}"/>
    <cellStyle name="Euro 2" xfId="44" xr:uid="{5B903E3F-077F-4450-8D0E-9F08C1B40569}"/>
    <cellStyle name="Explicación" xfId="36" xr:uid="{00000000-0005-0000-0000-000023000000}"/>
    <cellStyle name="Incorrecto" xfId="37" builtinId="27" customBuiltin="1"/>
    <cellStyle name="Neutral" xfId="38" builtinId="28" customBuiltin="1"/>
    <cellStyle name="Normal" xfId="0" builtinId="0"/>
    <cellStyle name="Normal 2" xfId="43" xr:uid="{A41E1880-339C-40D9-863F-0C5F74AB3872}"/>
    <cellStyle name="Nota" xfId="39" xr:uid="{00000000-0005-0000-0000-00002A000000}"/>
    <cellStyle name="Salida" xfId="40" builtinId="21" customBuiltin="1"/>
    <cellStyle name="Título" xfId="41" builtinId="15" customBuiltin="1"/>
    <cellStyle name="Total" xfId="42" builtinId="25" customBuiltin="1"/>
  </cellStyles>
  <dxfs count="8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color theme="1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ont>
        <color theme="1"/>
      </font>
      <fill>
        <patternFill>
          <bgColor theme="1"/>
        </patternFill>
      </fill>
      <border>
        <left/>
        <right/>
        <top/>
        <bottom/>
      </border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67</xdr:row>
      <xdr:rowOff>0</xdr:rowOff>
    </xdr:from>
    <xdr:to>
      <xdr:col>3</xdr:col>
      <xdr:colOff>7620</xdr:colOff>
      <xdr:row>67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524CA2-6C46-EC26-58A4-36D6E69D7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11231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120</xdr:row>
      <xdr:rowOff>0</xdr:rowOff>
    </xdr:from>
    <xdr:ext cx="7620" cy="7620"/>
    <xdr:pic>
      <xdr:nvPicPr>
        <xdr:cNvPr id="2" name="Imagen 1">
          <a:extLst>
            <a:ext uri="{FF2B5EF4-FFF2-40B4-BE49-F238E27FC236}">
              <a16:creationId xmlns:a16="http://schemas.microsoft.com/office/drawing/2014/main" id="{2C40DB82-DE87-4940-949B-D71BC78A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11231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121</xdr:row>
      <xdr:rowOff>0</xdr:rowOff>
    </xdr:from>
    <xdr:ext cx="7620" cy="7620"/>
    <xdr:pic>
      <xdr:nvPicPr>
        <xdr:cNvPr id="4" name="Imagen 3">
          <a:extLst>
            <a:ext uri="{FF2B5EF4-FFF2-40B4-BE49-F238E27FC236}">
              <a16:creationId xmlns:a16="http://schemas.microsoft.com/office/drawing/2014/main" id="{13FA0820-4753-4476-8B20-39A767ED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20116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121</xdr:row>
      <xdr:rowOff>0</xdr:rowOff>
    </xdr:from>
    <xdr:ext cx="7620" cy="7620"/>
    <xdr:pic>
      <xdr:nvPicPr>
        <xdr:cNvPr id="5" name="Imagen 4">
          <a:extLst>
            <a:ext uri="{FF2B5EF4-FFF2-40B4-BE49-F238E27FC236}">
              <a16:creationId xmlns:a16="http://schemas.microsoft.com/office/drawing/2014/main" id="{3F34AB56-43A1-426B-8FEB-F45D4245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201168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</xdr:row>
      <xdr:rowOff>0</xdr:rowOff>
    </xdr:from>
    <xdr:ext cx="7620" cy="7620"/>
    <xdr:pic>
      <xdr:nvPicPr>
        <xdr:cNvPr id="6" name="Imagen 5">
          <a:extLst>
            <a:ext uri="{FF2B5EF4-FFF2-40B4-BE49-F238E27FC236}">
              <a16:creationId xmlns:a16="http://schemas.microsoft.com/office/drawing/2014/main" id="{B6D63BE5-C786-4B05-98DB-1A6F5C12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940" y="11231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director\Downloads\BC%20SCORP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1"/>
      <sheetName val="GA"/>
      <sheetName val="Hid"/>
      <sheetName val="HidTRAB"/>
      <sheetName val="Partc."/>
      <sheetName val="ds3"/>
      <sheetName val="ds2"/>
      <sheetName val="dsBB"/>
      <sheetName val="ds"/>
      <sheetName val="ds (2)"/>
      <sheetName val="KN"/>
      <sheetName val="Max.GHM"/>
      <sheetName val="GSMman"/>
      <sheetName val="GSM"/>
      <sheetName val="Max KG"/>
      <sheetName val="HidCalc"/>
      <sheetName val="Tampa"/>
      <sheetName val="Hou"/>
      <sheetName val="Pan"/>
      <sheetName val="LB"/>
      <sheetName val="RB"/>
      <sheetName val="RB1"/>
      <sheetName val="Trin"/>
      <sheetName val="Col"/>
      <sheetName val="Kam"/>
      <sheetName val="Kam1"/>
      <sheetName val="Kam2"/>
      <sheetName val="Brasil"/>
      <sheetName val="Brasil1"/>
      <sheetName val="Toc1"/>
      <sheetName val="Toc2"/>
      <sheetName val="Tocp1"/>
      <sheetName val="Toc"/>
      <sheetName val="Mar2"/>
      <sheetName val="Mar"/>
      <sheetName val="CalcP3"/>
      <sheetName val="CalcP2"/>
      <sheetName val="CalcTimber"/>
      <sheetName val="Calc x P"/>
      <sheetName val="CalcV"/>
      <sheetName val="Calc"/>
      <sheetName val="HidGrain"/>
      <sheetName val="GSM3"/>
      <sheetName val="GrainEst3"/>
      <sheetName val="GSM2"/>
      <sheetName val="GrainEst2"/>
      <sheetName val="GSM1"/>
      <sheetName val="GrainEst1"/>
      <sheetName val="GRAIN Calc"/>
      <sheetName val="Grain"/>
      <sheetName val="grain front page"/>
      <sheetName val="grain part I"/>
      <sheetName val="grain part II"/>
      <sheetName val="grain part III"/>
      <sheetName val="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9C97-FBC9-41B1-957F-A996DC78F60D}">
  <sheetPr codeName="Hoja3"/>
  <dimension ref="A1:KB280"/>
  <sheetViews>
    <sheetView tabSelected="1" topLeftCell="A54" zoomScaleNormal="100" workbookViewId="0">
      <selection activeCell="E60" sqref="E60"/>
    </sheetView>
  </sheetViews>
  <sheetFormatPr baseColWidth="10" defaultRowHeight="13.2" x14ac:dyDescent="0.25"/>
  <cols>
    <col min="1" max="1" width="3.21875" customWidth="1"/>
    <col min="7" max="7" width="13" customWidth="1"/>
    <col min="9" max="9" width="12" customWidth="1"/>
    <col min="10" max="10" width="2.6640625" customWidth="1"/>
    <col min="11" max="11" width="13" customWidth="1"/>
    <col min="14" max="14" width="13.6640625" customWidth="1"/>
    <col min="15" max="15" width="3.5546875" customWidth="1"/>
    <col min="16" max="16" width="12.33203125" customWidth="1"/>
    <col min="24" max="24" width="11.77734375" bestFit="1" customWidth="1"/>
    <col min="26" max="26" width="12.33203125" bestFit="1" customWidth="1"/>
    <col min="49" max="49" width="12.33203125" bestFit="1" customWidth="1"/>
  </cols>
  <sheetData>
    <row r="1" spans="1:71" x14ac:dyDescent="0.25">
      <c r="A1" s="22"/>
      <c r="B1" s="22"/>
      <c r="C1" s="22"/>
      <c r="D1" s="22"/>
      <c r="E1" s="22"/>
      <c r="F1" s="20"/>
      <c r="G1" s="20"/>
      <c r="H1" s="20"/>
      <c r="I1" s="20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</row>
    <row r="2" spans="1:71" x14ac:dyDescent="0.25">
      <c r="A2" s="22"/>
      <c r="B2" s="107"/>
      <c r="C2" s="105"/>
      <c r="D2" s="22"/>
      <c r="E2" s="23"/>
      <c r="F2" s="46"/>
      <c r="G2" s="24"/>
      <c r="H2" s="24"/>
      <c r="I2" s="24"/>
      <c r="J2" s="22"/>
      <c r="K2" s="107"/>
      <c r="L2" s="104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55"/>
      <c r="AM2" s="7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</row>
    <row r="3" spans="1:71" x14ac:dyDescent="0.25">
      <c r="A3" s="22"/>
      <c r="B3" s="22"/>
      <c r="C3" s="22"/>
      <c r="D3" s="22"/>
      <c r="E3" s="31"/>
      <c r="F3" s="20"/>
      <c r="G3" s="20"/>
      <c r="H3" s="20"/>
      <c r="I3" s="20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55"/>
      <c r="Z3" s="7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 spans="1:71" x14ac:dyDescent="0.25">
      <c r="A4" s="22"/>
      <c r="B4" s="4"/>
      <c r="C4" s="4"/>
      <c r="D4" s="4"/>
      <c r="E4" s="4"/>
      <c r="F4" s="4"/>
      <c r="G4" s="4"/>
      <c r="H4" s="4"/>
      <c r="I4" s="4"/>
      <c r="J4" s="22"/>
      <c r="K4" s="4"/>
      <c r="L4" s="4"/>
      <c r="M4" s="4"/>
      <c r="N4" s="4"/>
      <c r="O4" s="22"/>
      <c r="P4" s="6"/>
      <c r="Q4" s="7"/>
      <c r="R4" s="15"/>
      <c r="S4" s="25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6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22"/>
      <c r="BQ4" s="22"/>
      <c r="BR4" s="22"/>
      <c r="BS4" s="22"/>
    </row>
    <row r="5" spans="1:71" x14ac:dyDescent="0.25">
      <c r="A5" s="22"/>
      <c r="B5" s="106"/>
      <c r="C5" s="82"/>
      <c r="D5" s="5"/>
      <c r="E5" s="82"/>
      <c r="F5" s="5"/>
      <c r="G5" s="82"/>
      <c r="H5" s="5"/>
      <c r="I5" s="82"/>
      <c r="J5" s="22"/>
      <c r="K5" s="82"/>
      <c r="L5" s="90"/>
      <c r="M5" s="58"/>
      <c r="N5" s="10"/>
      <c r="O5" s="22"/>
      <c r="P5" s="6"/>
      <c r="Q5" s="7"/>
      <c r="R5" s="17"/>
      <c r="S5" s="26"/>
      <c r="T5" s="22"/>
      <c r="U5" s="66"/>
      <c r="V5" s="51"/>
      <c r="W5" s="51"/>
      <c r="X5" s="51"/>
      <c r="Y5" s="51"/>
      <c r="Z5" s="51"/>
      <c r="AA5" s="51"/>
      <c r="AB5" s="51"/>
      <c r="AC5" s="51"/>
      <c r="AD5" s="51"/>
      <c r="AE5" s="22"/>
      <c r="AF5" s="22"/>
      <c r="AG5" s="22"/>
      <c r="AH5" s="22"/>
      <c r="AI5" s="22"/>
      <c r="AJ5" s="22"/>
      <c r="AK5" s="49"/>
      <c r="BP5" s="22"/>
      <c r="BQ5" s="22"/>
      <c r="BR5" s="22"/>
      <c r="BS5" s="22"/>
    </row>
    <row r="6" spans="1:71" x14ac:dyDescent="0.25">
      <c r="A6" s="22"/>
      <c r="B6" s="106"/>
      <c r="C6" s="82"/>
      <c r="D6" s="5"/>
      <c r="E6" s="82"/>
      <c r="F6" s="5"/>
      <c r="G6" s="82"/>
      <c r="H6" s="5"/>
      <c r="I6" s="82"/>
      <c r="J6" s="22"/>
      <c r="K6" s="82"/>
      <c r="L6" s="90"/>
      <c r="M6" s="58"/>
      <c r="N6" s="10"/>
      <c r="O6" s="22"/>
      <c r="P6" s="27"/>
      <c r="Q6" s="28"/>
      <c r="R6" s="25"/>
      <c r="S6" s="25"/>
      <c r="T6" s="22"/>
      <c r="U6" s="49"/>
      <c r="V6" s="43"/>
      <c r="W6" s="43"/>
      <c r="X6" s="43"/>
      <c r="Y6" s="43"/>
      <c r="Z6" s="43"/>
      <c r="AA6" s="43"/>
      <c r="AB6" s="43"/>
      <c r="AC6" s="43"/>
      <c r="AD6" s="43"/>
      <c r="AE6" s="22"/>
      <c r="AF6" s="22"/>
      <c r="AG6" s="22"/>
      <c r="AH6" s="22"/>
      <c r="AI6" s="22"/>
      <c r="AJ6" s="22"/>
      <c r="AK6" s="49"/>
      <c r="BP6" s="22"/>
      <c r="BQ6" s="22"/>
      <c r="BR6" s="22"/>
      <c r="BS6" s="22"/>
    </row>
    <row r="7" spans="1:71" x14ac:dyDescent="0.25">
      <c r="A7" s="22"/>
      <c r="B7" s="106"/>
      <c r="C7" s="82"/>
      <c r="D7" s="5"/>
      <c r="E7" s="82"/>
      <c r="F7" s="5"/>
      <c r="G7" s="82"/>
      <c r="H7" s="5"/>
      <c r="I7" s="82"/>
      <c r="J7" s="22"/>
      <c r="K7" s="82"/>
      <c r="L7" s="90"/>
      <c r="M7" s="58"/>
      <c r="N7" s="10"/>
      <c r="O7" s="22"/>
      <c r="P7" s="6"/>
      <c r="Q7" s="15"/>
      <c r="R7" s="25"/>
      <c r="S7" s="25"/>
      <c r="T7" s="22"/>
      <c r="U7" s="49"/>
      <c r="V7" s="43"/>
      <c r="W7" s="43"/>
      <c r="X7" s="43"/>
      <c r="Y7" s="43"/>
      <c r="Z7" s="43"/>
      <c r="AA7" s="43"/>
      <c r="AB7" s="43"/>
      <c r="AC7" s="43"/>
      <c r="AD7" s="43"/>
      <c r="AE7" s="22"/>
      <c r="AF7" s="22"/>
      <c r="AG7" s="22"/>
      <c r="AH7" s="22"/>
      <c r="AI7" s="22"/>
      <c r="AJ7" s="22"/>
      <c r="AK7" s="49"/>
      <c r="BP7" s="22"/>
      <c r="BQ7" s="22"/>
      <c r="BR7" s="22"/>
      <c r="BS7" s="22"/>
    </row>
    <row r="8" spans="1:71" x14ac:dyDescent="0.25">
      <c r="A8" s="22"/>
      <c r="B8" s="106"/>
      <c r="C8" s="82"/>
      <c r="D8" s="5"/>
      <c r="E8" s="82"/>
      <c r="F8" s="5"/>
      <c r="G8" s="82"/>
      <c r="H8" s="5"/>
      <c r="I8" s="82"/>
      <c r="J8" s="22"/>
      <c r="K8" s="82"/>
      <c r="L8" s="90"/>
      <c r="M8" s="58"/>
      <c r="N8" s="10"/>
      <c r="O8" s="22"/>
      <c r="P8" s="6"/>
      <c r="Q8" s="16"/>
      <c r="R8" s="29"/>
      <c r="S8" s="25"/>
      <c r="T8" s="22"/>
      <c r="U8" s="49"/>
      <c r="V8" s="43"/>
      <c r="W8" s="43"/>
      <c r="X8" s="43"/>
      <c r="Y8" s="43"/>
      <c r="Z8" s="43"/>
      <c r="AA8" s="43"/>
      <c r="AB8" s="43"/>
      <c r="AC8" s="43"/>
      <c r="AD8" s="43"/>
      <c r="AE8" s="22"/>
      <c r="AF8" s="22"/>
      <c r="AG8" s="22"/>
      <c r="AH8" s="22"/>
      <c r="AI8" s="22"/>
      <c r="AJ8" s="22"/>
      <c r="AK8" s="49"/>
      <c r="BP8" s="22"/>
      <c r="BQ8" s="22"/>
      <c r="BR8" s="22"/>
      <c r="BS8" s="22"/>
    </row>
    <row r="9" spans="1:71" x14ac:dyDescent="0.25">
      <c r="A9" s="22"/>
      <c r="B9" s="106"/>
      <c r="C9" s="82"/>
      <c r="D9" s="5"/>
      <c r="E9" s="82"/>
      <c r="F9" s="5"/>
      <c r="G9" s="82"/>
      <c r="H9" s="5"/>
      <c r="I9" s="82"/>
      <c r="J9" s="22"/>
      <c r="K9" s="82"/>
      <c r="L9" s="90"/>
      <c r="M9" s="58"/>
      <c r="N9" s="10"/>
      <c r="O9" s="22"/>
      <c r="P9" s="6"/>
      <c r="Q9" s="7"/>
      <c r="R9" s="7"/>
      <c r="S9" s="15"/>
      <c r="T9" s="22"/>
      <c r="U9" s="49"/>
      <c r="V9" s="43"/>
      <c r="W9" s="43"/>
      <c r="X9" s="43"/>
      <c r="Y9" s="43"/>
      <c r="Z9" s="43"/>
      <c r="AA9" s="43"/>
      <c r="AB9" s="43"/>
      <c r="AC9" s="43"/>
      <c r="AD9" s="43"/>
      <c r="AE9" s="22"/>
      <c r="AF9" s="22"/>
      <c r="AG9" s="22"/>
      <c r="AH9" s="22"/>
      <c r="AI9" s="22"/>
      <c r="AJ9" s="22"/>
      <c r="AK9" s="49"/>
      <c r="BP9" s="22"/>
      <c r="BQ9" s="22"/>
      <c r="BR9" s="22"/>
      <c r="BS9" s="22"/>
    </row>
    <row r="10" spans="1:71" x14ac:dyDescent="0.25">
      <c r="A10" s="22"/>
      <c r="B10" s="106"/>
      <c r="C10" s="82"/>
      <c r="D10" s="5"/>
      <c r="E10" s="82"/>
      <c r="F10" s="5"/>
      <c r="G10" s="82"/>
      <c r="H10" s="5"/>
      <c r="I10" s="82"/>
      <c r="J10" s="22"/>
      <c r="K10" s="82"/>
      <c r="L10" s="90"/>
      <c r="M10" s="58"/>
      <c r="N10" s="10"/>
      <c r="O10" s="22"/>
      <c r="P10" s="6"/>
      <c r="Q10" s="7"/>
      <c r="R10" s="18"/>
      <c r="S10" s="26"/>
      <c r="T10" s="22"/>
      <c r="U10" s="49"/>
      <c r="V10" s="43"/>
      <c r="W10" s="43"/>
      <c r="X10" s="43"/>
      <c r="Y10" s="43"/>
      <c r="Z10" s="43"/>
      <c r="AA10" s="43"/>
      <c r="AB10" s="43"/>
      <c r="AC10" s="43"/>
      <c r="AD10" s="43"/>
      <c r="AE10" s="22"/>
      <c r="AF10" s="22"/>
      <c r="AG10" s="22"/>
      <c r="AH10" s="22"/>
      <c r="AI10" s="22"/>
      <c r="AJ10" s="22"/>
      <c r="AK10" s="49"/>
      <c r="BP10" s="22"/>
      <c r="BQ10" s="22"/>
      <c r="BR10" s="22"/>
      <c r="BS10" s="22"/>
    </row>
    <row r="11" spans="1:71" x14ac:dyDescent="0.25">
      <c r="A11" s="22"/>
      <c r="B11" s="106"/>
      <c r="C11" s="82"/>
      <c r="D11" s="5"/>
      <c r="E11" s="82"/>
      <c r="F11" s="5"/>
      <c r="G11" s="82"/>
      <c r="H11" s="5"/>
      <c r="I11" s="82"/>
      <c r="J11" s="22"/>
      <c r="K11" s="82"/>
      <c r="L11" s="90"/>
      <c r="M11" s="58"/>
      <c r="N11" s="10"/>
      <c r="O11" s="22"/>
      <c r="P11" s="28"/>
      <c r="Q11" s="28"/>
      <c r="R11" s="25"/>
      <c r="S11" s="25"/>
      <c r="T11" s="22"/>
      <c r="U11" s="49"/>
      <c r="V11" s="43"/>
      <c r="W11" s="43"/>
      <c r="X11" s="43"/>
      <c r="Y11" s="43"/>
      <c r="Z11" s="43"/>
      <c r="AA11" s="43"/>
      <c r="AB11" s="43"/>
      <c r="AC11" s="43"/>
      <c r="AD11" s="43"/>
      <c r="AE11" s="22"/>
      <c r="AF11" s="22"/>
      <c r="AG11" s="22"/>
      <c r="AH11" s="22"/>
      <c r="AI11" s="22"/>
      <c r="AJ11" s="22"/>
      <c r="AK11" s="49"/>
      <c r="BP11" s="22"/>
      <c r="BQ11" s="22"/>
      <c r="BR11" s="22"/>
      <c r="BS11" s="22"/>
    </row>
    <row r="12" spans="1:71" x14ac:dyDescent="0.25">
      <c r="A12" s="22"/>
      <c r="B12" s="106"/>
      <c r="C12" s="82"/>
      <c r="D12" s="5"/>
      <c r="E12" s="82"/>
      <c r="F12" s="5"/>
      <c r="G12" s="82"/>
      <c r="H12" s="5"/>
      <c r="I12" s="82"/>
      <c r="J12" s="22"/>
      <c r="K12" s="82"/>
      <c r="L12" s="90"/>
      <c r="M12" s="58"/>
      <c r="N12" s="10"/>
      <c r="O12" s="22"/>
      <c r="P12" s="25"/>
      <c r="Q12" s="25"/>
      <c r="R12" s="25"/>
      <c r="S12" s="25"/>
      <c r="T12" s="22"/>
      <c r="U12" s="49"/>
      <c r="V12" s="43"/>
      <c r="W12" s="43"/>
      <c r="X12" s="43"/>
      <c r="Y12" s="43"/>
      <c r="Z12" s="43"/>
      <c r="AA12" s="43"/>
      <c r="AB12" s="43"/>
      <c r="AC12" s="43"/>
      <c r="AD12" s="43"/>
      <c r="AE12" s="22"/>
      <c r="AF12" s="22"/>
      <c r="AG12" s="22"/>
      <c r="AH12" s="22"/>
      <c r="AI12" s="22"/>
      <c r="AJ12" s="22"/>
      <c r="AK12" s="49"/>
      <c r="BP12" s="22"/>
      <c r="BQ12" s="22"/>
      <c r="BR12" s="22"/>
      <c r="BS12" s="22"/>
    </row>
    <row r="13" spans="1:71" x14ac:dyDescent="0.25">
      <c r="A13" s="22"/>
      <c r="B13" s="106"/>
      <c r="C13" s="82"/>
      <c r="D13" s="5"/>
      <c r="E13" s="82"/>
      <c r="F13" s="5"/>
      <c r="G13" s="82"/>
      <c r="H13" s="5"/>
      <c r="I13" s="82"/>
      <c r="J13" s="22"/>
      <c r="K13" s="82"/>
      <c r="L13" s="90"/>
      <c r="M13" s="58"/>
      <c r="N13" s="10"/>
      <c r="O13" s="22"/>
      <c r="P13" s="22"/>
      <c r="Q13" s="132"/>
      <c r="R13" s="22"/>
      <c r="S13" s="22"/>
      <c r="T13" s="22"/>
      <c r="U13" s="49"/>
      <c r="V13" s="43"/>
      <c r="W13" s="43"/>
      <c r="X13" s="43"/>
      <c r="Y13" s="43"/>
      <c r="Z13" s="43"/>
      <c r="AA13" s="43"/>
      <c r="AB13" s="43"/>
      <c r="AC13" s="43"/>
      <c r="AD13" s="43"/>
      <c r="AE13" s="22"/>
      <c r="AF13" s="22"/>
      <c r="AG13" s="22"/>
      <c r="AH13" s="22"/>
      <c r="AI13" s="22"/>
      <c r="AJ13" s="22"/>
      <c r="AK13" s="49"/>
      <c r="BP13" s="22"/>
      <c r="BQ13" s="22"/>
      <c r="BR13" s="22"/>
      <c r="BS13" s="22"/>
    </row>
    <row r="14" spans="1:71" x14ac:dyDescent="0.25">
      <c r="A14" s="22"/>
      <c r="B14" s="82"/>
      <c r="C14" s="82"/>
      <c r="D14" s="5"/>
      <c r="E14" s="82"/>
      <c r="F14" s="5"/>
      <c r="G14" s="82"/>
      <c r="H14" s="5"/>
      <c r="I14" s="82"/>
      <c r="J14" s="22"/>
      <c r="K14" s="82"/>
      <c r="L14" s="90"/>
      <c r="M14" s="58"/>
      <c r="N14" s="10"/>
      <c r="O14" s="22"/>
      <c r="P14" s="22"/>
      <c r="Q14" s="22"/>
      <c r="R14" s="22"/>
      <c r="S14" s="22"/>
      <c r="T14" s="22"/>
      <c r="U14" s="49"/>
      <c r="V14" s="43"/>
      <c r="W14" s="43"/>
      <c r="X14" s="43"/>
      <c r="Y14" s="43"/>
      <c r="Z14" s="43"/>
      <c r="AA14" s="43"/>
      <c r="AB14" s="43"/>
      <c r="AC14" s="43"/>
      <c r="AD14" s="43"/>
      <c r="AE14" s="22"/>
      <c r="AF14" s="22"/>
      <c r="AG14" s="22"/>
      <c r="AH14" s="22"/>
      <c r="AI14" s="22"/>
      <c r="AJ14" s="22"/>
      <c r="AK14" s="49"/>
      <c r="BP14" s="22"/>
      <c r="BQ14" s="22"/>
      <c r="BR14" s="22"/>
      <c r="BS14" s="22"/>
    </row>
    <row r="15" spans="1:71" x14ac:dyDescent="0.25">
      <c r="A15" s="22"/>
      <c r="B15" s="82"/>
      <c r="C15" s="82"/>
      <c r="D15" s="5"/>
      <c r="E15" s="82"/>
      <c r="F15" s="5"/>
      <c r="G15" s="82"/>
      <c r="H15" s="5"/>
      <c r="I15" s="82"/>
      <c r="J15" s="22"/>
      <c r="K15" s="82"/>
      <c r="L15" s="90"/>
      <c r="M15" s="58"/>
      <c r="N15" s="10"/>
      <c r="O15" s="22"/>
      <c r="P15" s="6"/>
      <c r="Q15" s="94"/>
      <c r="R15" s="6"/>
      <c r="S15" s="95"/>
      <c r="T15" s="22"/>
      <c r="U15" s="49"/>
      <c r="V15" s="43"/>
      <c r="W15" s="43"/>
      <c r="X15" s="43"/>
      <c r="Y15" s="43"/>
      <c r="Z15" s="43"/>
      <c r="AA15" s="43"/>
      <c r="AB15" s="43"/>
      <c r="AC15" s="43"/>
      <c r="AD15" s="43"/>
      <c r="AE15" s="22"/>
      <c r="AF15" s="22"/>
      <c r="AG15" s="22"/>
      <c r="AH15" s="22"/>
      <c r="AI15" s="22"/>
      <c r="AJ15" s="22"/>
      <c r="AK15" s="49"/>
      <c r="BP15" s="22"/>
      <c r="BQ15" s="22"/>
      <c r="BR15" s="22"/>
      <c r="BS15" s="22"/>
    </row>
    <row r="16" spans="1:71" x14ac:dyDescent="0.25">
      <c r="A16" s="22"/>
      <c r="B16" s="82"/>
      <c r="C16" s="82"/>
      <c r="D16" s="5"/>
      <c r="E16" s="82"/>
      <c r="F16" s="5"/>
      <c r="G16" s="82"/>
      <c r="H16" s="5"/>
      <c r="I16" s="82"/>
      <c r="J16" s="22"/>
      <c r="K16" s="82"/>
      <c r="L16" s="90"/>
      <c r="M16" s="58"/>
      <c r="N16" s="10"/>
      <c r="O16" s="22"/>
      <c r="P16" s="6"/>
      <c r="Q16" s="82"/>
      <c r="R16" s="82"/>
      <c r="S16" s="6"/>
      <c r="T16" s="22"/>
      <c r="U16" s="49"/>
      <c r="V16" s="43"/>
      <c r="W16" s="43"/>
      <c r="X16" s="43"/>
      <c r="Y16" s="43"/>
      <c r="Z16" s="43"/>
      <c r="AA16" s="43"/>
      <c r="AB16" s="43"/>
      <c r="AC16" s="43"/>
      <c r="AD16" s="43"/>
      <c r="AE16" s="22"/>
      <c r="AF16" s="22"/>
      <c r="AG16" s="22"/>
      <c r="AH16" s="22"/>
      <c r="AI16" s="22"/>
      <c r="AJ16" s="22"/>
      <c r="AK16" s="49"/>
      <c r="BP16" s="22"/>
      <c r="BQ16" s="22"/>
      <c r="BR16" s="22"/>
      <c r="BS16" s="22"/>
    </row>
    <row r="17" spans="1:71" x14ac:dyDescent="0.25">
      <c r="A17" s="22"/>
      <c r="B17" s="82"/>
      <c r="C17" s="82"/>
      <c r="D17" s="5"/>
      <c r="E17" s="82"/>
      <c r="F17" s="5"/>
      <c r="G17" s="82"/>
      <c r="H17" s="5"/>
      <c r="I17" s="82"/>
      <c r="J17" s="22"/>
      <c r="K17" s="82"/>
      <c r="L17" s="90"/>
      <c r="M17" s="58"/>
      <c r="N17" s="10"/>
      <c r="O17" s="22"/>
      <c r="P17" s="82"/>
      <c r="Q17" s="86"/>
      <c r="R17" s="86"/>
      <c r="S17" s="11"/>
      <c r="T17" s="22"/>
      <c r="U17" s="49"/>
      <c r="V17" s="43"/>
      <c r="W17" s="43"/>
      <c r="X17" s="43"/>
      <c r="Y17" s="43"/>
      <c r="Z17" s="43"/>
      <c r="AA17" s="43"/>
      <c r="AB17" s="43"/>
      <c r="AC17" s="43"/>
      <c r="AD17" s="43"/>
      <c r="AE17" s="22"/>
      <c r="AF17" s="22"/>
      <c r="AG17" s="22"/>
      <c r="AH17" s="22"/>
      <c r="AI17" s="22"/>
      <c r="AJ17" s="22"/>
      <c r="AK17" s="49"/>
      <c r="BP17" s="22"/>
      <c r="BQ17" s="22"/>
      <c r="BR17" s="22"/>
      <c r="BS17" s="22"/>
    </row>
    <row r="18" spans="1:71" x14ac:dyDescent="0.25">
      <c r="A18" s="22"/>
      <c r="B18" s="82"/>
      <c r="C18" s="82"/>
      <c r="D18" s="5"/>
      <c r="E18" s="82"/>
      <c r="F18" s="5"/>
      <c r="G18" s="82"/>
      <c r="H18" s="5"/>
      <c r="I18" s="82"/>
      <c r="J18" s="22"/>
      <c r="K18" s="82"/>
      <c r="L18" s="90"/>
      <c r="M18" s="58"/>
      <c r="N18" s="10"/>
      <c r="O18" s="22"/>
      <c r="P18" s="82"/>
      <c r="Q18" s="86"/>
      <c r="R18" s="86"/>
      <c r="S18" s="69"/>
      <c r="T18" s="22"/>
      <c r="U18" s="49"/>
      <c r="V18" s="43"/>
      <c r="W18" s="43"/>
      <c r="X18" s="43"/>
      <c r="Y18" s="43"/>
      <c r="Z18" s="43"/>
      <c r="AA18" s="43"/>
      <c r="AB18" s="43"/>
      <c r="AC18" s="43"/>
      <c r="AD18" s="43"/>
      <c r="AE18" s="22"/>
      <c r="AF18" s="22"/>
      <c r="AG18" s="22"/>
      <c r="AH18" s="22"/>
      <c r="AI18" s="22"/>
      <c r="AJ18" s="22"/>
      <c r="AK18" s="49"/>
      <c r="BP18" s="22"/>
      <c r="BQ18" s="22"/>
      <c r="BR18" s="22"/>
      <c r="BS18" s="22"/>
    </row>
    <row r="19" spans="1:71" x14ac:dyDescent="0.25">
      <c r="A19" s="22"/>
      <c r="B19" s="82"/>
      <c r="C19" s="82"/>
      <c r="D19" s="5"/>
      <c r="E19" s="82"/>
      <c r="F19" s="5"/>
      <c r="G19" s="82"/>
      <c r="H19" s="5"/>
      <c r="I19" s="82"/>
      <c r="J19" s="22"/>
      <c r="K19" s="82"/>
      <c r="L19" s="90"/>
      <c r="M19" s="58"/>
      <c r="N19" s="10"/>
      <c r="O19" s="22"/>
      <c r="P19" s="12"/>
      <c r="Q19" s="11"/>
      <c r="R19" s="25"/>
      <c r="S19" s="28"/>
      <c r="T19" s="22"/>
      <c r="U19" s="49"/>
      <c r="V19" s="43"/>
      <c r="W19" s="43"/>
      <c r="X19" s="43"/>
      <c r="Y19" s="43"/>
      <c r="Z19" s="43"/>
      <c r="AA19" s="43"/>
      <c r="AB19" s="43"/>
      <c r="AC19" s="43"/>
      <c r="AD19" s="43"/>
      <c r="AE19" s="22"/>
      <c r="AF19" s="22"/>
      <c r="AG19" s="22"/>
      <c r="AH19" s="22"/>
      <c r="AI19" s="22"/>
      <c r="AJ19" s="22"/>
      <c r="AK19" s="49"/>
      <c r="BP19" s="22"/>
      <c r="BQ19" s="22"/>
      <c r="BR19" s="22"/>
      <c r="BS19" s="22"/>
    </row>
    <row r="20" spans="1:71" x14ac:dyDescent="0.25">
      <c r="A20" s="22"/>
      <c r="B20" s="82"/>
      <c r="C20" s="82"/>
      <c r="D20" s="5"/>
      <c r="E20" s="82"/>
      <c r="F20" s="5"/>
      <c r="G20" s="82"/>
      <c r="H20" s="5"/>
      <c r="I20" s="82"/>
      <c r="J20" s="22"/>
      <c r="K20" s="82"/>
      <c r="L20" s="90"/>
      <c r="M20" s="58"/>
      <c r="N20" s="10"/>
      <c r="O20" s="22"/>
      <c r="P20" s="25"/>
      <c r="Q20" s="25"/>
      <c r="R20" s="25"/>
      <c r="S20" s="25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49"/>
      <c r="BP20" s="22"/>
      <c r="BQ20" s="22"/>
      <c r="BR20" s="22"/>
      <c r="BS20" s="22"/>
    </row>
    <row r="21" spans="1:71" x14ac:dyDescent="0.25">
      <c r="A21" s="6"/>
      <c r="B21" s="82"/>
      <c r="C21" s="41"/>
      <c r="D21" s="5"/>
      <c r="E21" s="82"/>
      <c r="F21" s="5"/>
      <c r="G21" s="82"/>
      <c r="H21" s="5"/>
      <c r="I21" s="82"/>
      <c r="J21" s="6"/>
      <c r="K21" s="130"/>
      <c r="L21" s="90"/>
      <c r="M21" s="58"/>
      <c r="N21" s="10"/>
      <c r="O21" s="22"/>
      <c r="P21" s="25"/>
      <c r="Q21" s="25"/>
      <c r="R21" s="25"/>
      <c r="S21" s="25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49"/>
      <c r="BP21" s="22"/>
      <c r="BQ21" s="22"/>
      <c r="BR21" s="22"/>
      <c r="BS21" s="22"/>
    </row>
    <row r="22" spans="1:71" x14ac:dyDescent="0.25">
      <c r="A22" s="6"/>
      <c r="B22" s="82"/>
      <c r="C22" s="41"/>
      <c r="D22" s="5"/>
      <c r="E22" s="82"/>
      <c r="F22" s="5"/>
      <c r="G22" s="82"/>
      <c r="H22" s="5"/>
      <c r="I22" s="82"/>
      <c r="J22" s="6"/>
      <c r="K22" s="130"/>
      <c r="L22" s="90"/>
      <c r="M22" s="58"/>
      <c r="N22" s="10"/>
      <c r="O22" s="22"/>
      <c r="P22" s="25"/>
      <c r="Q22" s="75"/>
      <c r="R22" s="22"/>
      <c r="S22" s="22"/>
      <c r="T22" s="22"/>
      <c r="U22" s="22"/>
      <c r="V22" s="22"/>
      <c r="W22" s="22"/>
      <c r="X22" s="22"/>
      <c r="Y22" s="22"/>
      <c r="Z22" s="81" t="s">
        <v>223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49"/>
      <c r="BP22" s="22"/>
      <c r="BQ22" s="22"/>
      <c r="BR22" s="22"/>
      <c r="BS22" s="22"/>
    </row>
    <row r="23" spans="1:71" x14ac:dyDescent="0.25">
      <c r="A23" s="6"/>
      <c r="B23" s="82"/>
      <c r="C23" s="41"/>
      <c r="D23" s="5"/>
      <c r="E23" s="82"/>
      <c r="F23" s="5"/>
      <c r="G23" s="82"/>
      <c r="H23" s="5"/>
      <c r="I23" s="82"/>
      <c r="J23" s="6"/>
      <c r="K23" s="130"/>
      <c r="L23" s="90"/>
      <c r="M23" s="58"/>
      <c r="N23" s="10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49"/>
      <c r="BP23" s="22"/>
      <c r="BQ23" s="22"/>
      <c r="BR23" s="22"/>
      <c r="BS23" s="22"/>
    </row>
    <row r="24" spans="1:71" x14ac:dyDescent="0.25">
      <c r="A24" s="6"/>
      <c r="B24" s="82"/>
      <c r="C24" s="41"/>
      <c r="D24" s="5"/>
      <c r="E24" s="82"/>
      <c r="F24" s="5"/>
      <c r="G24" s="82"/>
      <c r="H24" s="5"/>
      <c r="I24" s="82"/>
      <c r="J24" s="6"/>
      <c r="K24" s="130"/>
      <c r="L24" s="90"/>
      <c r="M24" s="58"/>
      <c r="N24" s="10"/>
      <c r="O24" s="22"/>
      <c r="P24" s="6"/>
      <c r="Q24" s="57"/>
      <c r="R24" s="6"/>
      <c r="S24" s="118"/>
      <c r="T24" s="22"/>
      <c r="U24" s="6" t="s">
        <v>220</v>
      </c>
      <c r="V24" s="51">
        <v>50</v>
      </c>
      <c r="W24" s="51">
        <v>60</v>
      </c>
      <c r="X24" s="51">
        <v>70</v>
      </c>
      <c r="Y24" s="51">
        <v>80</v>
      </c>
      <c r="Z24" s="51">
        <v>90</v>
      </c>
      <c r="AA24" s="51">
        <v>100</v>
      </c>
      <c r="AB24" s="51">
        <v>120</v>
      </c>
      <c r="AC24" s="51">
        <v>140</v>
      </c>
      <c r="AD24" s="51">
        <v>160</v>
      </c>
      <c r="AE24" s="51">
        <v>180</v>
      </c>
      <c r="AF24" s="51">
        <v>200</v>
      </c>
      <c r="AG24" s="22"/>
      <c r="AH24" s="22"/>
      <c r="AI24" s="22"/>
      <c r="AJ24" s="22"/>
      <c r="AK24" s="49"/>
      <c r="BP24" s="22"/>
      <c r="BQ24" s="22"/>
      <c r="BR24" s="22"/>
      <c r="BS24" s="22"/>
    </row>
    <row r="25" spans="1:71" x14ac:dyDescent="0.25">
      <c r="A25" s="6"/>
      <c r="B25" s="82"/>
      <c r="C25" s="41"/>
      <c r="D25" s="5"/>
      <c r="E25" s="82"/>
      <c r="F25" s="5"/>
      <c r="G25" s="82"/>
      <c r="H25" s="5"/>
      <c r="I25" s="82"/>
      <c r="J25" s="6"/>
      <c r="K25" s="130"/>
      <c r="L25" s="90"/>
      <c r="M25" s="58"/>
      <c r="N25" s="10"/>
      <c r="O25" s="22"/>
      <c r="P25" s="6"/>
      <c r="Q25" s="56"/>
      <c r="R25" s="6"/>
      <c r="S25" s="82"/>
      <c r="T25" s="22"/>
      <c r="U25" s="49">
        <v>9</v>
      </c>
      <c r="V25">
        <v>1.2</v>
      </c>
      <c r="W25">
        <v>1.0900000000000001</v>
      </c>
      <c r="X25">
        <v>1</v>
      </c>
      <c r="Y25">
        <v>0.92</v>
      </c>
      <c r="Z25">
        <v>0.85</v>
      </c>
      <c r="AA25">
        <v>0.79</v>
      </c>
      <c r="AB25">
        <v>0.7</v>
      </c>
      <c r="AC25">
        <v>0.63</v>
      </c>
      <c r="AD25">
        <v>0.56999999999999995</v>
      </c>
      <c r="AE25">
        <v>0.53</v>
      </c>
      <c r="AF25">
        <v>0.49</v>
      </c>
      <c r="AG25" s="22"/>
      <c r="AH25" s="22"/>
      <c r="AI25" s="22"/>
      <c r="AJ25" s="22"/>
      <c r="AK25" s="49"/>
      <c r="BP25" s="22"/>
      <c r="BQ25" s="22"/>
      <c r="BR25" s="22"/>
      <c r="BS25" s="22"/>
    </row>
    <row r="26" spans="1:71" x14ac:dyDescent="0.25">
      <c r="A26" s="22"/>
      <c r="B26" s="4"/>
      <c r="C26" s="4"/>
      <c r="D26" s="4"/>
      <c r="E26" s="4"/>
      <c r="F26" s="4"/>
      <c r="G26" s="4"/>
      <c r="H26" s="4"/>
      <c r="I26" s="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49">
        <v>12</v>
      </c>
      <c r="V26">
        <v>1.34</v>
      </c>
      <c r="W26">
        <v>1.22</v>
      </c>
      <c r="X26">
        <v>1.1200000000000001</v>
      </c>
      <c r="Y26">
        <v>1.03</v>
      </c>
      <c r="Z26">
        <v>0.96</v>
      </c>
      <c r="AA26">
        <v>0.9</v>
      </c>
      <c r="AB26">
        <v>0.79</v>
      </c>
      <c r="AC26">
        <v>0.72</v>
      </c>
      <c r="AD26">
        <v>0.65</v>
      </c>
      <c r="AE26">
        <v>0.6</v>
      </c>
      <c r="AF26">
        <v>0.56000000000000005</v>
      </c>
      <c r="AG26" s="22"/>
      <c r="AH26" s="22"/>
      <c r="AI26" s="22"/>
      <c r="AJ26" s="22"/>
      <c r="AK26" s="49"/>
      <c r="BP26" s="22"/>
      <c r="BQ26" s="22"/>
      <c r="BR26" s="22"/>
      <c r="BS26" s="22"/>
    </row>
    <row r="27" spans="1:71" x14ac:dyDescent="0.25">
      <c r="A27" s="22"/>
      <c r="B27" s="9"/>
      <c r="C27" s="8"/>
      <c r="D27" s="9"/>
      <c r="E27" s="8"/>
      <c r="F27" s="9"/>
      <c r="G27" s="8"/>
      <c r="H27" s="9"/>
      <c r="I27" s="5"/>
      <c r="J27" s="22"/>
      <c r="K27" s="6"/>
      <c r="L27" s="14"/>
      <c r="M27" s="22"/>
      <c r="N27" s="10"/>
      <c r="O27" s="72"/>
      <c r="P27" s="13"/>
      <c r="Q27" s="9"/>
      <c r="R27" s="13"/>
      <c r="S27" s="9"/>
      <c r="T27" s="22"/>
      <c r="U27" s="49">
        <v>15</v>
      </c>
      <c r="V27">
        <v>1.49</v>
      </c>
      <c r="W27">
        <v>1.36</v>
      </c>
      <c r="X27">
        <v>1.24</v>
      </c>
      <c r="Y27">
        <v>1.1499999999999999</v>
      </c>
      <c r="Z27">
        <v>1.07</v>
      </c>
      <c r="AA27">
        <v>1</v>
      </c>
      <c r="AB27">
        <v>0.89</v>
      </c>
      <c r="AC27">
        <v>0.8</v>
      </c>
      <c r="AD27">
        <v>0.73</v>
      </c>
      <c r="AE27">
        <v>0.68</v>
      </c>
      <c r="AF27">
        <v>0.63</v>
      </c>
      <c r="AG27" s="22"/>
      <c r="AH27" s="22"/>
      <c r="AI27" s="22"/>
      <c r="AJ27" s="22"/>
      <c r="AK27" s="49"/>
      <c r="BP27" s="22"/>
      <c r="BQ27" s="22"/>
      <c r="BR27" s="22"/>
      <c r="BS27" s="22"/>
    </row>
    <row r="28" spans="1:7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6"/>
      <c r="L28" s="14"/>
      <c r="M28" s="31"/>
      <c r="N28" s="22"/>
      <c r="O28" s="22"/>
      <c r="P28" s="25"/>
      <c r="Q28" s="25"/>
      <c r="R28" s="25"/>
      <c r="S28" s="25"/>
      <c r="T28" s="22"/>
      <c r="U28" s="49">
        <v>18</v>
      </c>
      <c r="V28">
        <v>1.64</v>
      </c>
      <c r="W28">
        <v>1.49</v>
      </c>
      <c r="X28">
        <v>1.37</v>
      </c>
      <c r="Y28">
        <v>1.27</v>
      </c>
      <c r="Z28">
        <v>1.18</v>
      </c>
      <c r="AA28">
        <v>1.1000000000000001</v>
      </c>
      <c r="AB28">
        <v>0.98</v>
      </c>
      <c r="AC28">
        <v>0.89</v>
      </c>
      <c r="AD28">
        <v>0.82</v>
      </c>
      <c r="AE28">
        <v>0.76</v>
      </c>
      <c r="AF28">
        <v>0.71</v>
      </c>
      <c r="AG28" s="22"/>
      <c r="AH28" s="22"/>
      <c r="AI28" s="22"/>
      <c r="AJ28" s="22"/>
      <c r="AK28" s="49"/>
      <c r="BP28" s="22"/>
      <c r="BQ28" s="22"/>
      <c r="BR28" s="22"/>
      <c r="BS28" s="22"/>
    </row>
    <row r="29" spans="1:71" x14ac:dyDescent="0.25">
      <c r="A29" s="22"/>
      <c r="B29" s="4"/>
      <c r="C29" s="119"/>
      <c r="D29" s="22"/>
      <c r="E29" s="4"/>
      <c r="F29" s="119"/>
      <c r="G29" s="32"/>
      <c r="H29" s="6"/>
      <c r="I29" s="8"/>
      <c r="J29" s="22"/>
      <c r="K29" s="22"/>
      <c r="L29" s="22"/>
      <c r="M29" s="22"/>
      <c r="N29" s="22"/>
      <c r="O29" s="22"/>
      <c r="P29" s="6"/>
      <c r="Q29" s="82"/>
      <c r="R29" s="6"/>
      <c r="S29" s="114"/>
      <c r="T29" s="22"/>
      <c r="U29" s="49">
        <v>21</v>
      </c>
      <c r="V29">
        <v>1.78</v>
      </c>
      <c r="W29">
        <v>1.62</v>
      </c>
      <c r="X29">
        <v>1.49</v>
      </c>
      <c r="Y29">
        <v>1.38</v>
      </c>
      <c r="Z29">
        <v>1.28</v>
      </c>
      <c r="AA29">
        <v>1.21</v>
      </c>
      <c r="AB29">
        <v>1.08</v>
      </c>
      <c r="AC29">
        <v>0.98</v>
      </c>
      <c r="AD29">
        <v>0.9</v>
      </c>
      <c r="AE29">
        <v>0.83</v>
      </c>
      <c r="AF29">
        <v>0.78</v>
      </c>
      <c r="AG29" s="22"/>
      <c r="AH29" s="22"/>
      <c r="AI29" s="22"/>
      <c r="AJ29" s="22"/>
      <c r="AK29" s="49"/>
      <c r="BP29" s="22"/>
      <c r="BQ29" s="22"/>
      <c r="BR29" s="22"/>
      <c r="BS29" s="22"/>
    </row>
    <row r="30" spans="1:7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6"/>
      <c r="L30" s="14"/>
      <c r="M30" s="22"/>
      <c r="N30" s="22"/>
      <c r="O30" s="22"/>
      <c r="P30" s="6"/>
      <c r="Q30" s="82"/>
      <c r="R30" s="6"/>
      <c r="S30" s="129"/>
      <c r="T30" s="22"/>
      <c r="U30" s="49">
        <v>24</v>
      </c>
      <c r="V30">
        <v>1.93</v>
      </c>
      <c r="W30">
        <v>1.76</v>
      </c>
      <c r="X30">
        <v>1.62</v>
      </c>
      <c r="Y30">
        <v>1.5</v>
      </c>
      <c r="Z30">
        <v>1.4</v>
      </c>
      <c r="AA30">
        <v>1.31</v>
      </c>
      <c r="AB30">
        <v>1.17</v>
      </c>
      <c r="AC30">
        <v>1.07</v>
      </c>
      <c r="AD30">
        <v>0.98</v>
      </c>
      <c r="AE30">
        <v>0.91</v>
      </c>
      <c r="AF30">
        <v>0.85</v>
      </c>
      <c r="AG30" s="22"/>
      <c r="AH30" s="22"/>
      <c r="AI30" s="22"/>
      <c r="AJ30" s="22"/>
      <c r="AK30" s="49"/>
      <c r="BP30" s="22"/>
      <c r="BQ30" s="22"/>
      <c r="BR30" s="22"/>
      <c r="BS30" s="22"/>
    </row>
    <row r="31" spans="1:7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49"/>
      <c r="BP31" s="22"/>
      <c r="BQ31" s="22"/>
      <c r="BR31" s="22"/>
      <c r="BS31" s="22"/>
    </row>
    <row r="32" spans="1:71" x14ac:dyDescent="0.25">
      <c r="A32" s="22"/>
      <c r="B32" s="22"/>
      <c r="C32" s="33"/>
      <c r="D32" s="19"/>
      <c r="E32" s="19"/>
      <c r="F32" s="19"/>
      <c r="G32" s="22"/>
      <c r="H32" s="22"/>
      <c r="I32" s="22"/>
      <c r="J32" s="22"/>
      <c r="K32" s="22"/>
      <c r="L32" s="22"/>
      <c r="M32" s="22"/>
      <c r="N32" s="22"/>
      <c r="O32" s="22"/>
      <c r="P32" s="13"/>
      <c r="Q32" s="9"/>
      <c r="R32" s="13"/>
      <c r="S32" s="9"/>
      <c r="T32" s="22"/>
      <c r="U32" s="22"/>
      <c r="V32" s="22"/>
      <c r="W32" s="22"/>
      <c r="X32" s="22"/>
      <c r="Y32" s="22"/>
      <c r="Z32" s="6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49"/>
      <c r="BP32" s="22"/>
      <c r="BQ32" s="22"/>
      <c r="BR32" s="22"/>
      <c r="BS32" s="22"/>
    </row>
    <row r="33" spans="1:288" x14ac:dyDescent="0.25">
      <c r="A33" s="22"/>
      <c r="B33" s="34"/>
      <c r="C33" s="91"/>
      <c r="D33" s="68"/>
      <c r="E33" s="68"/>
      <c r="F33" s="68"/>
      <c r="G33" s="21"/>
      <c r="H33" s="33"/>
      <c r="I33" s="22"/>
      <c r="J33" s="30"/>
      <c r="K33" s="6"/>
      <c r="L33" s="6"/>
      <c r="M33" s="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49"/>
      <c r="BP33" s="22"/>
      <c r="BQ33" s="22"/>
      <c r="BR33" s="22"/>
      <c r="BS33" s="22"/>
    </row>
    <row r="34" spans="1:288" x14ac:dyDescent="0.25">
      <c r="A34" s="22"/>
      <c r="B34" s="22"/>
      <c r="C34" s="33"/>
      <c r="D34" s="19"/>
      <c r="E34" s="19"/>
      <c r="F34" s="19"/>
      <c r="G34" s="22"/>
      <c r="H34" s="33"/>
      <c r="I34" s="22"/>
      <c r="J34" s="81"/>
      <c r="K34" s="88"/>
      <c r="L34" s="89"/>
      <c r="M34" s="61"/>
      <c r="N34" s="22"/>
      <c r="O34" s="22"/>
      <c r="P34" s="83"/>
      <c r="Q34" s="22"/>
      <c r="R34" s="4"/>
      <c r="S34" s="114"/>
      <c r="T34" s="22"/>
      <c r="U34" s="6"/>
      <c r="V34" s="77"/>
      <c r="W34" s="77"/>
      <c r="X34" s="77"/>
      <c r="Y34" s="77"/>
      <c r="Z34" s="22"/>
      <c r="AA34" s="6"/>
      <c r="AB34" s="77"/>
      <c r="AC34" s="77"/>
      <c r="AD34" s="77"/>
      <c r="AE34" s="77"/>
      <c r="AF34" s="22"/>
      <c r="AG34" s="22"/>
      <c r="AH34" s="22"/>
      <c r="AI34" s="22"/>
      <c r="AJ34" s="22"/>
      <c r="AK34" s="49"/>
      <c r="BP34" s="22"/>
      <c r="BQ34" s="22"/>
      <c r="BR34" s="22"/>
      <c r="BS34" s="22"/>
    </row>
    <row r="35" spans="1:288" s="22" customFormat="1" x14ac:dyDescent="0.25">
      <c r="C35" s="20"/>
      <c r="D35" s="20"/>
      <c r="E35" s="20"/>
      <c r="F35" s="20"/>
      <c r="H35" s="79"/>
      <c r="J35" s="112"/>
      <c r="K35" s="62"/>
      <c r="L35" s="89"/>
      <c r="M35" s="61"/>
      <c r="P35" s="83"/>
      <c r="R35" s="4"/>
      <c r="S35" s="14"/>
      <c r="U35" s="76"/>
      <c r="V35"/>
      <c r="W35"/>
      <c r="X35"/>
      <c r="Y35"/>
      <c r="AA35" s="76"/>
      <c r="AB35"/>
      <c r="AC35"/>
      <c r="AD35"/>
      <c r="AE35"/>
      <c r="AH35" s="22" t="s">
        <v>221</v>
      </c>
      <c r="AI35" s="22" t="s">
        <v>222</v>
      </c>
      <c r="AK35" s="49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</row>
    <row r="36" spans="1:288" x14ac:dyDescent="0.25">
      <c r="A36" s="22"/>
      <c r="B36" s="22"/>
      <c r="C36" s="33"/>
      <c r="D36" s="19"/>
      <c r="E36" s="19"/>
      <c r="F36" s="19"/>
      <c r="G36" s="22"/>
      <c r="H36" s="33"/>
      <c r="I36" s="22"/>
      <c r="J36" s="113"/>
      <c r="K36" s="62"/>
      <c r="L36" s="89"/>
      <c r="M36" s="61"/>
      <c r="N36" s="22"/>
      <c r="O36" s="22"/>
      <c r="P36" s="83"/>
      <c r="Q36" s="22"/>
      <c r="R36" s="22"/>
      <c r="S36" s="22"/>
      <c r="T36" s="22"/>
      <c r="U36" s="76"/>
      <c r="Z36" s="22"/>
      <c r="AA36" s="76"/>
      <c r="AF36" s="22"/>
      <c r="AG36" s="22"/>
      <c r="AH36" s="22"/>
      <c r="AI36" s="22"/>
      <c r="AJ36" s="22"/>
      <c r="AK36" s="49"/>
      <c r="BP36" s="22"/>
      <c r="BQ36" s="22"/>
      <c r="BR36" s="22"/>
      <c r="BS36" s="22"/>
    </row>
    <row r="37" spans="1:288" x14ac:dyDescent="0.25">
      <c r="A37" s="22"/>
      <c r="B37" s="34"/>
      <c r="C37" s="91"/>
      <c r="D37" s="68"/>
      <c r="E37" s="68"/>
      <c r="F37" s="68"/>
      <c r="G37" s="21"/>
      <c r="H37" s="33"/>
      <c r="I37" s="22"/>
      <c r="J37" s="81"/>
      <c r="K37" s="88"/>
      <c r="L37" s="89"/>
      <c r="M37" s="61"/>
      <c r="N37" s="22"/>
      <c r="O37" s="22"/>
      <c r="P37" s="83"/>
      <c r="Q37" s="22"/>
      <c r="R37" s="4"/>
      <c r="S37" s="114"/>
      <c r="T37" s="22"/>
      <c r="U37" s="76"/>
      <c r="Z37" s="22"/>
      <c r="AA37" s="76"/>
      <c r="AF37" s="22"/>
      <c r="AG37" s="22"/>
      <c r="AH37" s="22"/>
      <c r="AI37" s="22"/>
      <c r="AJ37" s="22"/>
      <c r="AK37" s="49"/>
      <c r="BP37" s="22"/>
      <c r="BQ37" s="22"/>
      <c r="BR37" s="22"/>
      <c r="BS37" s="22"/>
    </row>
    <row r="38" spans="1:288" x14ac:dyDescent="0.25">
      <c r="A38" s="22"/>
      <c r="B38" s="22"/>
      <c r="C38" s="33"/>
      <c r="D38" s="19"/>
      <c r="E38" s="19"/>
      <c r="F38" s="19"/>
      <c r="G38" s="22"/>
      <c r="H38" s="22"/>
      <c r="I38" s="22"/>
      <c r="J38" s="81"/>
      <c r="K38" s="88"/>
      <c r="L38" s="89"/>
      <c r="M38" s="61"/>
      <c r="N38" s="22"/>
      <c r="O38" s="22"/>
      <c r="P38" s="83"/>
      <c r="Q38" s="22"/>
      <c r="R38" s="4"/>
      <c r="S38" s="14"/>
      <c r="T38" s="22"/>
      <c r="U38" s="76"/>
      <c r="Z38" s="22"/>
      <c r="AA38" s="76"/>
      <c r="AF38" s="22"/>
      <c r="AG38" s="22"/>
      <c r="AH38" s="22"/>
      <c r="AI38" s="22"/>
      <c r="AJ38" s="22"/>
      <c r="AK38" s="49"/>
      <c r="BP38" s="22"/>
      <c r="BQ38" s="22"/>
      <c r="BR38" s="22"/>
      <c r="BS38" s="22"/>
    </row>
    <row r="39" spans="1:288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93"/>
      <c r="L39" s="93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49"/>
      <c r="BP39" s="22"/>
      <c r="BQ39" s="22"/>
      <c r="BR39" s="22"/>
      <c r="BS39" s="22"/>
    </row>
    <row r="40" spans="1:288" x14ac:dyDescent="0.25">
      <c r="A40" s="22"/>
      <c r="B40" s="6"/>
      <c r="C40" s="7"/>
      <c r="D40" s="6"/>
      <c r="E40" s="6"/>
      <c r="F40" s="22"/>
      <c r="G40" s="22"/>
      <c r="H40" s="22"/>
      <c r="I40" s="22"/>
      <c r="J40" s="6"/>
      <c r="K40" s="88"/>
      <c r="L40" s="89"/>
      <c r="M40" s="63"/>
      <c r="N40" s="22"/>
      <c r="O40" s="22"/>
      <c r="P40" s="126"/>
      <c r="Q40" s="7"/>
      <c r="R40" s="7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49"/>
      <c r="BP40" s="22"/>
      <c r="BQ40" s="22"/>
      <c r="BR40" s="22"/>
      <c r="BS40" s="22"/>
    </row>
    <row r="41" spans="1:288" x14ac:dyDescent="0.25">
      <c r="A41" s="22"/>
      <c r="B41" s="92"/>
      <c r="C41" s="59"/>
      <c r="D41" s="115"/>
      <c r="E41" s="116"/>
      <c r="F41" s="22"/>
      <c r="G41" s="78"/>
      <c r="H41" s="22"/>
      <c r="I41" s="22"/>
      <c r="J41" s="22"/>
      <c r="K41" s="22"/>
      <c r="L41" s="32"/>
      <c r="M41" s="65"/>
      <c r="N41" s="128"/>
      <c r="O41" s="127"/>
      <c r="P41" s="88"/>
      <c r="Q41" s="62"/>
      <c r="R41" s="11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49"/>
      <c r="BP41" s="22"/>
      <c r="BQ41" s="22"/>
      <c r="BR41" s="22"/>
      <c r="BS41" s="22"/>
    </row>
    <row r="42" spans="1:288" x14ac:dyDescent="0.25">
      <c r="A42" s="22"/>
      <c r="B42" s="92"/>
      <c r="C42" s="59"/>
      <c r="D42" s="115"/>
      <c r="E42" s="116"/>
      <c r="F42" s="22"/>
      <c r="G42" s="22"/>
      <c r="H42" s="22"/>
      <c r="I42" s="22"/>
      <c r="J42" s="22"/>
      <c r="K42" s="22"/>
      <c r="L42" s="32"/>
      <c r="M42" s="64"/>
      <c r="N42" s="128"/>
      <c r="O42" s="127"/>
      <c r="P42" s="88"/>
      <c r="Q42" s="62"/>
      <c r="R42" s="11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49"/>
      <c r="BP42" s="22"/>
      <c r="BQ42" s="22"/>
      <c r="BR42" s="22"/>
      <c r="BS42" s="22"/>
    </row>
    <row r="43" spans="1:288" x14ac:dyDescent="0.25">
      <c r="A43" s="22"/>
      <c r="B43" s="92"/>
      <c r="C43" s="59"/>
      <c r="D43" s="115"/>
      <c r="E43" s="116"/>
      <c r="F43" s="22"/>
      <c r="G43" s="6"/>
      <c r="H43" s="87"/>
      <c r="I43" s="60"/>
      <c r="J43" s="81"/>
      <c r="K43" s="80"/>
      <c r="L43" s="60"/>
      <c r="M43" s="6"/>
      <c r="N43" s="128"/>
      <c r="O43" s="127"/>
      <c r="P43" s="88"/>
      <c r="Q43" s="62"/>
      <c r="R43" s="11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49"/>
      <c r="BP43" s="22"/>
      <c r="BQ43" s="22"/>
      <c r="BR43" s="22"/>
      <c r="BS43" s="22"/>
    </row>
    <row r="44" spans="1:288" x14ac:dyDescent="0.25">
      <c r="A44" s="22"/>
      <c r="B44" s="92"/>
      <c r="C44" s="59"/>
      <c r="D44" s="115"/>
      <c r="E44" s="116"/>
      <c r="F44" s="22"/>
      <c r="G44" s="22"/>
      <c r="H44" s="22"/>
      <c r="I44" s="22"/>
      <c r="J44" s="22"/>
      <c r="K44" s="22"/>
      <c r="L44" s="22"/>
      <c r="M44" s="22"/>
      <c r="N44" s="128"/>
      <c r="O44" s="127"/>
      <c r="P44" s="88"/>
      <c r="Q44" s="62"/>
      <c r="R44" s="11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49"/>
      <c r="BP44" s="22"/>
      <c r="BQ44" s="22"/>
      <c r="BR44" s="22"/>
      <c r="BS44" s="22"/>
    </row>
    <row r="45" spans="1:288" x14ac:dyDescent="0.25">
      <c r="A45" s="22"/>
      <c r="B45" s="92"/>
      <c r="C45" s="59"/>
      <c r="D45" s="115"/>
      <c r="E45" s="116"/>
      <c r="F45" s="22"/>
      <c r="G45" s="6"/>
      <c r="H45" s="87"/>
      <c r="I45" s="60"/>
      <c r="J45" s="81"/>
      <c r="K45" s="80"/>
      <c r="L45" s="60"/>
      <c r="M45" s="6"/>
      <c r="N45" s="128"/>
      <c r="O45" s="127"/>
      <c r="P45" s="88"/>
      <c r="Q45" s="62"/>
      <c r="R45" s="11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49"/>
      <c r="BP45" s="22"/>
      <c r="BQ45" s="22"/>
      <c r="BR45" s="22"/>
      <c r="BS45" s="22"/>
    </row>
    <row r="46" spans="1:288" x14ac:dyDescent="0.25">
      <c r="A46" s="22"/>
      <c r="B46" s="92"/>
      <c r="C46" s="59"/>
      <c r="D46" s="115"/>
      <c r="E46" s="116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81" t="s">
        <v>224</v>
      </c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49"/>
      <c r="BP46" s="22"/>
      <c r="BQ46" s="22"/>
      <c r="BR46" s="22"/>
      <c r="BS46" s="22"/>
    </row>
    <row r="47" spans="1:288" x14ac:dyDescent="0.25">
      <c r="A47" s="22"/>
      <c r="B47" s="92"/>
      <c r="C47" s="59"/>
      <c r="D47" s="115"/>
      <c r="E47" s="116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47">
        <v>0.4</v>
      </c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49"/>
      <c r="BP47" s="22"/>
      <c r="BQ47" s="22"/>
      <c r="BR47" s="22"/>
      <c r="BS47" s="22"/>
    </row>
    <row r="48" spans="1:288" x14ac:dyDescent="0.25">
      <c r="A48" s="22"/>
      <c r="B48" s="92"/>
      <c r="C48" s="59"/>
      <c r="D48" s="115"/>
      <c r="E48" s="116"/>
      <c r="F48" s="22"/>
      <c r="G48" s="6"/>
      <c r="H48" s="87"/>
      <c r="I48" s="60"/>
      <c r="J48" s="6"/>
      <c r="K48" s="6"/>
      <c r="L48" s="87"/>
      <c r="M48" s="6"/>
      <c r="N48" s="60"/>
      <c r="O48" s="6"/>
      <c r="P48" s="131"/>
      <c r="Q48" s="87"/>
      <c r="R48" s="22"/>
      <c r="S48" t="s">
        <v>172</v>
      </c>
      <c r="T48" s="7">
        <v>-30</v>
      </c>
      <c r="U48" s="7">
        <v>-20</v>
      </c>
      <c r="V48" s="7">
        <v>-10</v>
      </c>
      <c r="W48" s="7">
        <v>0</v>
      </c>
      <c r="X48" s="7">
        <v>10</v>
      </c>
      <c r="Y48" s="7">
        <v>20</v>
      </c>
      <c r="Z48" s="7">
        <v>30</v>
      </c>
      <c r="AA48" s="7">
        <v>40</v>
      </c>
      <c r="AB48" s="7">
        <v>45</v>
      </c>
      <c r="AC48" s="7">
        <v>50</v>
      </c>
      <c r="AD48" s="7">
        <v>60</v>
      </c>
      <c r="AE48" s="7">
        <v>70</v>
      </c>
      <c r="AF48" s="7">
        <v>80</v>
      </c>
      <c r="AG48" s="7">
        <v>90</v>
      </c>
      <c r="AH48" t="s">
        <v>173</v>
      </c>
      <c r="AI48" s="22"/>
      <c r="AJ48" s="22"/>
      <c r="AK48" s="49"/>
      <c r="BP48" s="22"/>
      <c r="BQ48" s="22"/>
      <c r="BR48" s="22"/>
      <c r="BS48" s="22"/>
    </row>
    <row r="49" spans="1:71" x14ac:dyDescent="0.25">
      <c r="A49" s="22"/>
      <c r="B49" s="92"/>
      <c r="C49" s="59"/>
      <c r="D49" s="115"/>
      <c r="E49" s="116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49">
        <v>0</v>
      </c>
      <c r="T49">
        <v>0.67</v>
      </c>
      <c r="U49">
        <v>0.8</v>
      </c>
      <c r="V49">
        <v>0.92</v>
      </c>
      <c r="W49">
        <v>1</v>
      </c>
      <c r="X49">
        <v>1.05</v>
      </c>
      <c r="Y49">
        <v>1.08</v>
      </c>
      <c r="Z49">
        <v>1.07</v>
      </c>
      <c r="AA49">
        <v>1.02</v>
      </c>
      <c r="AB49">
        <v>0.99</v>
      </c>
      <c r="AC49">
        <v>0.95</v>
      </c>
      <c r="AD49">
        <v>0.85</v>
      </c>
      <c r="AE49">
        <v>0.72</v>
      </c>
      <c r="AF49">
        <v>0.56999999999999995</v>
      </c>
      <c r="AG49">
        <v>0.4</v>
      </c>
      <c r="AH49" s="51">
        <v>90</v>
      </c>
      <c r="AI49" s="22"/>
      <c r="AJ49" s="22"/>
      <c r="AK49" s="49"/>
      <c r="BP49" s="22"/>
      <c r="BQ49" s="22"/>
      <c r="BR49" s="22"/>
      <c r="BS49" s="22"/>
    </row>
    <row r="50" spans="1:71" x14ac:dyDescent="0.25">
      <c r="A50" s="6"/>
      <c r="B50" s="39"/>
      <c r="C50" s="59"/>
      <c r="D50" s="115"/>
      <c r="E50" s="116"/>
      <c r="F50" s="22"/>
      <c r="G50" s="6"/>
      <c r="H50" s="124"/>
      <c r="I50" s="22"/>
      <c r="J50" s="39"/>
      <c r="K50" s="6"/>
      <c r="L50" s="119"/>
      <c r="M50" s="22"/>
      <c r="N50" s="22"/>
      <c r="O50" s="22"/>
      <c r="P50" s="22"/>
      <c r="Q50" s="22"/>
      <c r="R50" s="22"/>
      <c r="S50" s="49">
        <v>10</v>
      </c>
      <c r="T50">
        <v>0.65</v>
      </c>
      <c r="U50">
        <v>0.79</v>
      </c>
      <c r="V50">
        <v>0.9</v>
      </c>
      <c r="W50">
        <v>0.98</v>
      </c>
      <c r="X50">
        <v>1.04</v>
      </c>
      <c r="Y50">
        <v>1.06</v>
      </c>
      <c r="Z50">
        <v>1.05</v>
      </c>
      <c r="AA50">
        <v>1.01</v>
      </c>
      <c r="AB50">
        <v>0.98</v>
      </c>
      <c r="AC50">
        <v>0.94</v>
      </c>
      <c r="AD50">
        <v>0.84</v>
      </c>
      <c r="AE50">
        <v>0.71</v>
      </c>
      <c r="AF50">
        <v>0.56000000000000005</v>
      </c>
      <c r="AG50">
        <v>0.4</v>
      </c>
      <c r="AH50" s="51">
        <v>80</v>
      </c>
      <c r="AI50" s="22"/>
      <c r="AJ50" s="22"/>
      <c r="AK50" s="49"/>
      <c r="BP50" s="22"/>
      <c r="BQ50" s="22"/>
      <c r="BR50" s="22"/>
      <c r="BS50" s="22"/>
    </row>
    <row r="51" spans="1:71" x14ac:dyDescent="0.25">
      <c r="A51" s="6"/>
      <c r="B51" s="39"/>
      <c r="C51" s="59"/>
      <c r="D51" s="115"/>
      <c r="E51" s="116"/>
      <c r="F51" s="22"/>
      <c r="G51" s="6"/>
      <c r="H51" s="125"/>
      <c r="I51" s="32"/>
      <c r="J51" s="39"/>
      <c r="K51" s="6"/>
      <c r="L51" s="125"/>
      <c r="M51" s="32"/>
      <c r="N51" s="22"/>
      <c r="O51" s="22"/>
      <c r="P51" s="22"/>
      <c r="Q51" s="22"/>
      <c r="R51" s="22"/>
      <c r="S51" s="49">
        <v>20</v>
      </c>
      <c r="T51">
        <v>0.61</v>
      </c>
      <c r="U51">
        <v>0.75</v>
      </c>
      <c r="V51">
        <v>0.86</v>
      </c>
      <c r="W51">
        <v>0.94</v>
      </c>
      <c r="X51">
        <v>0.99</v>
      </c>
      <c r="Y51">
        <v>1.02</v>
      </c>
      <c r="Z51">
        <v>1.01</v>
      </c>
      <c r="AA51">
        <v>0.98</v>
      </c>
      <c r="AB51">
        <v>0.95</v>
      </c>
      <c r="AC51">
        <v>0.91</v>
      </c>
      <c r="AD51">
        <v>0.82</v>
      </c>
      <c r="AE51">
        <v>0.7</v>
      </c>
      <c r="AF51">
        <v>0.56000000000000005</v>
      </c>
      <c r="AG51">
        <v>0.4</v>
      </c>
      <c r="AH51" s="51">
        <v>70</v>
      </c>
      <c r="AI51" s="22"/>
      <c r="AJ51" s="22"/>
      <c r="AK51" s="49"/>
      <c r="BP51" s="22"/>
      <c r="BQ51" s="22"/>
      <c r="BR51" s="22"/>
      <c r="BS51" s="22"/>
    </row>
    <row r="52" spans="1:71" x14ac:dyDescent="0.25">
      <c r="A52" s="6"/>
      <c r="B52" s="39"/>
      <c r="C52" s="59"/>
      <c r="D52" s="115"/>
      <c r="E52" s="116"/>
      <c r="F52" s="22"/>
      <c r="G52" s="22"/>
      <c r="H52" s="22"/>
      <c r="I52" s="22"/>
      <c r="J52" s="22"/>
      <c r="K52" s="22"/>
      <c r="L52" s="120"/>
      <c r="M52" s="22"/>
      <c r="N52" s="22"/>
      <c r="O52" s="22"/>
      <c r="P52" s="22"/>
      <c r="Q52" s="22"/>
      <c r="R52" s="22"/>
      <c r="S52" s="49">
        <v>30</v>
      </c>
      <c r="T52">
        <v>0.55000000000000004</v>
      </c>
      <c r="U52">
        <v>0.68</v>
      </c>
      <c r="V52">
        <v>0.78</v>
      </c>
      <c r="W52">
        <v>0.87</v>
      </c>
      <c r="X52">
        <v>0.92</v>
      </c>
      <c r="Y52">
        <v>0.95</v>
      </c>
      <c r="Z52">
        <v>0.95</v>
      </c>
      <c r="AA52">
        <v>0.92</v>
      </c>
      <c r="AB52">
        <v>0.9</v>
      </c>
      <c r="AC52">
        <v>0.86</v>
      </c>
      <c r="AD52">
        <v>0.78</v>
      </c>
      <c r="AE52">
        <v>0.67</v>
      </c>
      <c r="AF52">
        <v>0.54</v>
      </c>
      <c r="AG52">
        <v>0.4</v>
      </c>
      <c r="AH52" s="51">
        <v>60</v>
      </c>
      <c r="AI52" s="22"/>
      <c r="AJ52" s="22"/>
      <c r="AK52" s="49"/>
      <c r="BP52" s="22"/>
      <c r="BQ52" s="22"/>
      <c r="BR52" s="22"/>
      <c r="BS52" s="22"/>
    </row>
    <row r="53" spans="1:71" x14ac:dyDescent="0.25">
      <c r="A53" s="6"/>
      <c r="B53" s="39"/>
      <c r="C53" s="59"/>
      <c r="D53" s="115"/>
      <c r="E53" s="116"/>
      <c r="F53" s="22"/>
      <c r="G53" s="6"/>
      <c r="H53" s="125"/>
      <c r="I53" s="22"/>
      <c r="J53" s="39"/>
      <c r="K53" s="6"/>
      <c r="L53" s="125"/>
      <c r="M53" s="22"/>
      <c r="N53" s="6"/>
      <c r="O53" s="4"/>
      <c r="P53" s="119"/>
      <c r="Q53" s="22"/>
      <c r="R53" s="22"/>
      <c r="S53" s="49">
        <v>40</v>
      </c>
      <c r="T53">
        <v>0.46</v>
      </c>
      <c r="U53">
        <v>0.57999999999999996</v>
      </c>
      <c r="V53">
        <v>0.68</v>
      </c>
      <c r="W53">
        <v>0.77</v>
      </c>
      <c r="X53">
        <v>0.82</v>
      </c>
      <c r="Y53">
        <v>0.86</v>
      </c>
      <c r="Z53">
        <v>0.86</v>
      </c>
      <c r="AA53">
        <v>0.84</v>
      </c>
      <c r="AB53">
        <v>0.82</v>
      </c>
      <c r="AC53">
        <v>0.8</v>
      </c>
      <c r="AD53">
        <v>0.73</v>
      </c>
      <c r="AE53">
        <v>0.64</v>
      </c>
      <c r="AF53">
        <v>0.53</v>
      </c>
      <c r="AG53">
        <v>0.4</v>
      </c>
      <c r="AH53" s="51">
        <v>50</v>
      </c>
      <c r="AI53" s="22"/>
      <c r="AJ53" s="22"/>
      <c r="AK53" s="49"/>
      <c r="BP53" s="22"/>
      <c r="BQ53" s="22"/>
      <c r="BR53" s="22"/>
      <c r="BS53" s="22"/>
    </row>
    <row r="54" spans="1:71" x14ac:dyDescent="0.25">
      <c r="A54" s="6"/>
      <c r="B54" s="39"/>
      <c r="C54" s="59"/>
      <c r="D54" s="115"/>
      <c r="E54" s="116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49">
        <v>50</v>
      </c>
      <c r="T54">
        <v>0.36</v>
      </c>
      <c r="U54">
        <v>0.47</v>
      </c>
      <c r="V54">
        <v>0.56000000000000005</v>
      </c>
      <c r="W54">
        <v>0.64</v>
      </c>
      <c r="X54">
        <v>0.7</v>
      </c>
      <c r="Y54">
        <v>0.74</v>
      </c>
      <c r="Z54">
        <v>0.76</v>
      </c>
      <c r="AA54">
        <v>0.75</v>
      </c>
      <c r="AB54">
        <v>0.74</v>
      </c>
      <c r="AC54">
        <v>0.72</v>
      </c>
      <c r="AD54">
        <v>0.67</v>
      </c>
      <c r="AE54">
        <v>0.6</v>
      </c>
      <c r="AF54">
        <v>0.51</v>
      </c>
      <c r="AG54">
        <v>0.4</v>
      </c>
      <c r="AH54" s="51">
        <v>40</v>
      </c>
      <c r="AI54" s="22"/>
      <c r="AJ54" s="22"/>
      <c r="AK54" s="49"/>
      <c r="BP54" s="22"/>
      <c r="BQ54" s="22"/>
      <c r="BR54" s="22"/>
      <c r="BS54" s="22"/>
    </row>
    <row r="55" spans="1:71" x14ac:dyDescent="0.25">
      <c r="A55" s="22"/>
      <c r="B55" s="22"/>
      <c r="C55" s="22"/>
      <c r="D55" s="22"/>
      <c r="E55" s="83"/>
      <c r="F55" s="22"/>
      <c r="G55" s="6"/>
      <c r="H55" s="39"/>
      <c r="I55" s="32"/>
      <c r="J55" s="39"/>
      <c r="K55" s="6"/>
      <c r="L55" s="39"/>
      <c r="M55" s="32"/>
      <c r="N55" s="6"/>
      <c r="O55" s="39"/>
      <c r="P55" s="39"/>
      <c r="Q55" s="32"/>
      <c r="R55" s="22"/>
      <c r="S55" s="49">
        <v>60</v>
      </c>
      <c r="T55">
        <v>0.23</v>
      </c>
      <c r="U55">
        <v>0.33</v>
      </c>
      <c r="V55">
        <v>0.42</v>
      </c>
      <c r="W55">
        <v>0.5</v>
      </c>
      <c r="X55">
        <v>0.56000000000000005</v>
      </c>
      <c r="Y55">
        <v>0.61</v>
      </c>
      <c r="Z55">
        <v>0.63</v>
      </c>
      <c r="AA55">
        <v>0.64</v>
      </c>
      <c r="AB55">
        <v>0.64</v>
      </c>
      <c r="AC55">
        <v>0.63</v>
      </c>
      <c r="AD55">
        <v>0.6</v>
      </c>
      <c r="AE55">
        <v>0.55000000000000004</v>
      </c>
      <c r="AF55">
        <v>0.48</v>
      </c>
      <c r="AG55">
        <v>0.4</v>
      </c>
      <c r="AH55" s="51">
        <v>30</v>
      </c>
      <c r="AI55" s="22"/>
      <c r="AJ55" s="22"/>
      <c r="AK55" s="49"/>
      <c r="BP55" s="22"/>
      <c r="BQ55" s="22"/>
      <c r="BR55" s="22"/>
      <c r="BS55" s="22"/>
    </row>
    <row r="56" spans="1:71" x14ac:dyDescent="0.25">
      <c r="A56" s="22"/>
      <c r="B56" s="22"/>
      <c r="C56" s="22"/>
      <c r="D56" s="6"/>
      <c r="E56" s="117"/>
      <c r="F56" s="22"/>
      <c r="G56" s="6"/>
      <c r="H56" s="125"/>
      <c r="I56" s="32"/>
      <c r="J56" s="39"/>
      <c r="K56" s="6"/>
      <c r="L56" s="125"/>
      <c r="M56" s="32"/>
      <c r="N56" s="22"/>
      <c r="O56" s="22"/>
      <c r="P56" s="22"/>
      <c r="Q56" s="22"/>
      <c r="R56" s="22"/>
      <c r="S56" s="49">
        <v>70</v>
      </c>
      <c r="T56">
        <v>0.1</v>
      </c>
      <c r="U56">
        <v>0.18</v>
      </c>
      <c r="V56">
        <v>0.27</v>
      </c>
      <c r="W56">
        <v>0.34</v>
      </c>
      <c r="X56">
        <v>0.41</v>
      </c>
      <c r="Y56">
        <v>0.46</v>
      </c>
      <c r="Z56">
        <v>0.5</v>
      </c>
      <c r="AA56">
        <v>0.52</v>
      </c>
      <c r="AB56">
        <v>0.52</v>
      </c>
      <c r="AC56">
        <v>0.53</v>
      </c>
      <c r="AD56">
        <v>0.52</v>
      </c>
      <c r="AE56">
        <v>0.49</v>
      </c>
      <c r="AF56">
        <v>0.45</v>
      </c>
      <c r="AG56">
        <v>0.4</v>
      </c>
      <c r="AH56" s="51">
        <v>20</v>
      </c>
      <c r="AI56" s="22"/>
      <c r="AJ56" s="22"/>
      <c r="AK56" s="49"/>
      <c r="BP56" s="22"/>
      <c r="BQ56" s="22"/>
      <c r="BR56" s="22"/>
      <c r="BS56" s="22"/>
    </row>
    <row r="57" spans="1:71" x14ac:dyDescent="0.25">
      <c r="A57" s="22"/>
      <c r="B57" s="22"/>
      <c r="C57" s="22"/>
      <c r="D57" s="22"/>
      <c r="E57" s="22"/>
      <c r="F57" s="22"/>
      <c r="G57" s="121"/>
      <c r="H57" s="125"/>
      <c r="I57" s="32"/>
      <c r="J57" s="122"/>
      <c r="K57" s="123"/>
      <c r="L57" s="125"/>
      <c r="M57" s="32"/>
      <c r="N57" s="122"/>
      <c r="O57" s="123"/>
      <c r="P57" s="125"/>
      <c r="Q57" s="32"/>
      <c r="R57" s="22"/>
      <c r="S57" s="49">
        <v>80</v>
      </c>
      <c r="T57">
        <v>-0.05</v>
      </c>
      <c r="U57">
        <v>0.03</v>
      </c>
      <c r="V57">
        <v>0.1</v>
      </c>
      <c r="W57">
        <v>0.17</v>
      </c>
      <c r="X57">
        <v>0.24</v>
      </c>
      <c r="Y57">
        <v>0.3</v>
      </c>
      <c r="Z57">
        <v>0.35</v>
      </c>
      <c r="AA57">
        <v>0.39</v>
      </c>
      <c r="AB57">
        <v>0.41</v>
      </c>
      <c r="AC57">
        <v>0.42</v>
      </c>
      <c r="AD57">
        <v>0.43</v>
      </c>
      <c r="AE57">
        <v>0.44</v>
      </c>
      <c r="AF57">
        <v>0.42</v>
      </c>
      <c r="AG57">
        <v>0.4</v>
      </c>
      <c r="AH57" s="51">
        <v>10</v>
      </c>
      <c r="AI57" s="22"/>
      <c r="AJ57" s="22"/>
      <c r="AK57" s="49"/>
      <c r="BP57" s="22"/>
      <c r="BQ57" s="22"/>
      <c r="BR57" s="22"/>
      <c r="BS57" s="22"/>
    </row>
    <row r="58" spans="1:7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49">
        <v>90</v>
      </c>
      <c r="T58">
        <v>-0.2</v>
      </c>
      <c r="U58">
        <v>-0.14000000000000001</v>
      </c>
      <c r="V58">
        <v>-7.0000000000000007E-2</v>
      </c>
      <c r="W58">
        <v>0</v>
      </c>
      <c r="X58">
        <v>7.0000000000000007E-2</v>
      </c>
      <c r="Y58">
        <v>0.14000000000000001</v>
      </c>
      <c r="Z58">
        <v>0.2</v>
      </c>
      <c r="AA58">
        <v>0.26</v>
      </c>
      <c r="AB58">
        <v>0.28000000000000003</v>
      </c>
      <c r="AC58">
        <v>0.31</v>
      </c>
      <c r="AD58">
        <v>0.35</v>
      </c>
      <c r="AE58">
        <v>0.38</v>
      </c>
      <c r="AF58">
        <v>0.39</v>
      </c>
      <c r="AG58">
        <v>0.4</v>
      </c>
      <c r="AH58" s="51">
        <v>0</v>
      </c>
      <c r="AI58" s="22"/>
      <c r="AJ58" s="22"/>
      <c r="AK58" s="49"/>
      <c r="BP58" s="22"/>
      <c r="BQ58" s="22"/>
      <c r="BR58" s="22"/>
      <c r="BS58" s="22"/>
    </row>
    <row r="59" spans="1:71" x14ac:dyDescent="0.25">
      <c r="A59" s="22"/>
      <c r="B59" s="22"/>
      <c r="C59" s="22"/>
      <c r="D59" s="22"/>
      <c r="E59" s="22"/>
      <c r="F59" s="22"/>
      <c r="G59" s="6"/>
      <c r="H59" s="125"/>
      <c r="I59" s="22"/>
      <c r="J59" s="39"/>
      <c r="K59" s="6"/>
      <c r="L59" s="125"/>
      <c r="M59" s="22"/>
      <c r="N59" s="6"/>
      <c r="O59" s="39"/>
      <c r="P59" s="125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49"/>
      <c r="BP59" s="22"/>
      <c r="BQ59" s="22"/>
      <c r="BR59" s="22"/>
      <c r="BS59" s="22"/>
    </row>
    <row r="60" spans="1:71" x14ac:dyDescent="0.25">
      <c r="A60" s="22"/>
      <c r="B60" s="107" t="s">
        <v>1</v>
      </c>
      <c r="C60" s="104"/>
      <c r="D60" s="22"/>
      <c r="E60" s="46" t="s">
        <v>97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47">
        <v>0.3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49"/>
      <c r="BP60" s="22"/>
      <c r="BQ60" s="22"/>
      <c r="BR60" s="22"/>
      <c r="BS60" s="22"/>
    </row>
    <row r="61" spans="1:7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t="s">
        <v>172</v>
      </c>
      <c r="T61" s="7">
        <v>-30</v>
      </c>
      <c r="U61" s="7">
        <v>-20</v>
      </c>
      <c r="V61" s="7">
        <v>-10</v>
      </c>
      <c r="W61" s="7">
        <v>0</v>
      </c>
      <c r="X61" s="7">
        <v>10</v>
      </c>
      <c r="Y61" s="7">
        <v>20</v>
      </c>
      <c r="Z61" s="7">
        <v>30</v>
      </c>
      <c r="AA61" s="7">
        <v>40</v>
      </c>
      <c r="AB61" s="7">
        <v>45</v>
      </c>
      <c r="AC61" s="7">
        <v>50</v>
      </c>
      <c r="AD61" s="7">
        <v>60</v>
      </c>
      <c r="AE61" s="7">
        <v>70</v>
      </c>
      <c r="AF61" s="7">
        <v>80</v>
      </c>
      <c r="AG61" s="7">
        <v>90</v>
      </c>
      <c r="AH61" t="s">
        <v>173</v>
      </c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</row>
    <row r="62" spans="1:71" x14ac:dyDescent="0.25">
      <c r="A62" s="22"/>
      <c r="B62" s="7" t="s">
        <v>2</v>
      </c>
      <c r="C62" s="22"/>
      <c r="D62" s="7" t="s">
        <v>9</v>
      </c>
      <c r="E62" s="22"/>
      <c r="F62" s="7" t="s">
        <v>17</v>
      </c>
      <c r="G62" s="7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49">
        <v>0</v>
      </c>
      <c r="T62">
        <v>0.72</v>
      </c>
      <c r="U62">
        <v>0.84</v>
      </c>
      <c r="V62">
        <v>0.93</v>
      </c>
      <c r="W62">
        <v>1</v>
      </c>
      <c r="X62">
        <v>1.04</v>
      </c>
      <c r="Y62">
        <v>1.04</v>
      </c>
      <c r="Z62">
        <v>1.02</v>
      </c>
      <c r="AA62">
        <v>0.96</v>
      </c>
      <c r="AB62">
        <v>0.92</v>
      </c>
      <c r="AC62">
        <v>0.87</v>
      </c>
      <c r="AD62">
        <v>0.76</v>
      </c>
      <c r="AE62">
        <v>0.62</v>
      </c>
      <c r="AF62">
        <v>0.47</v>
      </c>
      <c r="AG62">
        <v>0.3</v>
      </c>
      <c r="AH62" s="51">
        <v>90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</row>
    <row r="63" spans="1:71" x14ac:dyDescent="0.25">
      <c r="A63" s="22"/>
      <c r="B63" s="22"/>
      <c r="C63" s="22"/>
      <c r="D63" s="22"/>
      <c r="E63" s="22"/>
      <c r="F63" s="22"/>
      <c r="G63" s="7" t="s">
        <v>36</v>
      </c>
      <c r="H63" s="7" t="s">
        <v>37</v>
      </c>
      <c r="I63" s="7" t="s">
        <v>38</v>
      </c>
      <c r="J63" s="7"/>
      <c r="K63" s="6" t="s">
        <v>92</v>
      </c>
      <c r="L63" s="22"/>
      <c r="M63" s="22"/>
      <c r="N63" s="22"/>
      <c r="O63" s="22"/>
      <c r="P63" s="22"/>
      <c r="Q63" s="22"/>
      <c r="R63" s="22"/>
      <c r="S63" s="49">
        <v>10</v>
      </c>
      <c r="T63">
        <v>0.7</v>
      </c>
      <c r="U63">
        <v>0.82</v>
      </c>
      <c r="V63">
        <v>0.92</v>
      </c>
      <c r="W63">
        <v>0.98</v>
      </c>
      <c r="X63">
        <v>1.02</v>
      </c>
      <c r="Y63">
        <v>1.03</v>
      </c>
      <c r="Z63">
        <v>1</v>
      </c>
      <c r="AA63">
        <v>0.95</v>
      </c>
      <c r="AB63">
        <v>0.91</v>
      </c>
      <c r="AC63">
        <v>0.86</v>
      </c>
      <c r="AD63">
        <v>0.75</v>
      </c>
      <c r="AE63">
        <v>0.62</v>
      </c>
      <c r="AF63">
        <v>0.47</v>
      </c>
      <c r="AG63">
        <v>0.3</v>
      </c>
      <c r="AH63" s="51">
        <v>80</v>
      </c>
      <c r="AI63" s="22"/>
      <c r="AJ63" s="22"/>
      <c r="AK63" s="6"/>
      <c r="AL63" s="6"/>
      <c r="AM63" s="22"/>
      <c r="AN63" s="22"/>
      <c r="AO63" s="22"/>
      <c r="AP63" s="6"/>
      <c r="AQ63" s="6"/>
      <c r="AR63" s="22"/>
      <c r="AS63" s="22"/>
      <c r="AT63" s="47"/>
      <c r="AU63" s="22"/>
      <c r="AV63" s="22"/>
      <c r="AW63" s="22"/>
      <c r="AX63" s="47"/>
      <c r="AY63" s="22"/>
      <c r="AZ63" s="22"/>
      <c r="BA63" s="22"/>
      <c r="BB63" s="47"/>
      <c r="BC63" s="22"/>
      <c r="BD63" s="22"/>
      <c r="BE63" s="22"/>
      <c r="BF63" s="47"/>
      <c r="BG63" s="22"/>
      <c r="BH63" s="22"/>
      <c r="BI63" s="22"/>
      <c r="BJ63" s="47"/>
      <c r="BK63" s="22"/>
      <c r="BL63" s="22"/>
      <c r="BM63" s="22"/>
      <c r="BN63" s="22"/>
      <c r="BO63" s="22"/>
      <c r="BP63" s="22"/>
      <c r="BQ63" s="22"/>
      <c r="BR63" s="22"/>
      <c r="BS63" s="22"/>
    </row>
    <row r="64" spans="1:71" x14ac:dyDescent="0.25">
      <c r="A64" s="22"/>
      <c r="B64" s="7" t="s">
        <v>218</v>
      </c>
      <c r="C64" s="82"/>
      <c r="D64" s="7" t="s">
        <v>10</v>
      </c>
      <c r="E64" s="82"/>
      <c r="F64" s="7" t="s">
        <v>18</v>
      </c>
      <c r="G64" s="82"/>
      <c r="H64" s="82" t="s">
        <v>215</v>
      </c>
      <c r="I64" s="39">
        <v>0.5</v>
      </c>
      <c r="J64" s="7" t="s">
        <v>40</v>
      </c>
      <c r="K64" s="96">
        <f>TRUNC(IF(H64="Tm",G64*9.81*I64,G64*I64),2)</f>
        <v>0</v>
      </c>
      <c r="L64" s="22"/>
      <c r="M64" s="22"/>
      <c r="N64" s="22"/>
      <c r="O64" s="22"/>
      <c r="P64" s="22"/>
      <c r="Q64" s="22"/>
      <c r="R64" s="22"/>
      <c r="S64" s="49">
        <v>20</v>
      </c>
      <c r="T64">
        <v>0.66</v>
      </c>
      <c r="U64">
        <v>0.78</v>
      </c>
      <c r="V64">
        <v>0.87</v>
      </c>
      <c r="W64">
        <v>0.94</v>
      </c>
      <c r="X64">
        <v>0.98</v>
      </c>
      <c r="Y64">
        <v>0.99</v>
      </c>
      <c r="Z64">
        <v>0.96</v>
      </c>
      <c r="AA64">
        <v>0.91</v>
      </c>
      <c r="AB64">
        <v>0.88</v>
      </c>
      <c r="AC64">
        <v>0.83</v>
      </c>
      <c r="AD64">
        <v>0.73</v>
      </c>
      <c r="AE64">
        <v>0.6</v>
      </c>
      <c r="AF64">
        <v>0.46</v>
      </c>
      <c r="AG64">
        <v>0.3</v>
      </c>
      <c r="AH64" s="51">
        <v>70</v>
      </c>
      <c r="AI64" s="22"/>
      <c r="AJ64" s="22"/>
      <c r="AK64" s="49"/>
      <c r="AM64" s="22"/>
      <c r="AN64" s="22"/>
      <c r="AO64" s="22"/>
      <c r="AP64" s="51"/>
      <c r="AR64" s="22"/>
      <c r="AS64" s="22"/>
      <c r="AT64" s="7"/>
      <c r="AU64" s="51"/>
      <c r="AV64" s="49"/>
      <c r="AW64" s="22"/>
      <c r="AX64" s="7"/>
      <c r="AY64" s="51"/>
      <c r="AZ64" s="49"/>
      <c r="BA64" s="22"/>
      <c r="BB64" s="7"/>
      <c r="BC64" s="51"/>
      <c r="BD64" s="49"/>
      <c r="BE64" s="22"/>
      <c r="BF64" s="7"/>
      <c r="BG64" s="51"/>
      <c r="BH64" s="49"/>
      <c r="BI64" s="22"/>
      <c r="BJ64" s="7"/>
      <c r="BK64" s="51"/>
      <c r="BL64" s="49"/>
      <c r="BM64" s="22"/>
      <c r="BN64" s="22"/>
      <c r="BO64" s="22"/>
      <c r="BP64" s="22"/>
      <c r="BQ64" s="22"/>
      <c r="BR64" s="22"/>
      <c r="BS64" s="22"/>
    </row>
    <row r="65" spans="1:71" x14ac:dyDescent="0.25">
      <c r="A65" s="22"/>
      <c r="B65" s="7" t="s">
        <v>219</v>
      </c>
      <c r="C65" s="82"/>
      <c r="D65" s="7" t="s">
        <v>11</v>
      </c>
      <c r="E65" s="82"/>
      <c r="F65" s="7" t="s">
        <v>19</v>
      </c>
      <c r="G65" s="82"/>
      <c r="H65" s="82" t="s">
        <v>215</v>
      </c>
      <c r="I65" s="39">
        <v>0.33</v>
      </c>
      <c r="J65" s="7" t="s">
        <v>40</v>
      </c>
      <c r="K65" s="96">
        <f t="shared" ref="K65:K71" si="0">TRUNC(IF(H65="Tm",G65*9.81*I65,G65*I65),2)</f>
        <v>0</v>
      </c>
      <c r="L65" s="22"/>
      <c r="M65" s="22"/>
      <c r="N65" s="22"/>
      <c r="O65" s="22"/>
      <c r="P65" s="22"/>
      <c r="Q65" s="22"/>
      <c r="R65" s="22"/>
      <c r="S65" s="49">
        <v>30</v>
      </c>
      <c r="T65">
        <v>0.6</v>
      </c>
      <c r="U65">
        <v>0.71</v>
      </c>
      <c r="V65">
        <v>0.8</v>
      </c>
      <c r="W65">
        <v>0.87</v>
      </c>
      <c r="X65">
        <v>0.9</v>
      </c>
      <c r="Y65">
        <v>0.92</v>
      </c>
      <c r="Z65">
        <v>0.9</v>
      </c>
      <c r="AA65">
        <v>0.86</v>
      </c>
      <c r="AB65">
        <v>0.82</v>
      </c>
      <c r="AC65">
        <v>0.79</v>
      </c>
      <c r="AD65">
        <v>0.69</v>
      </c>
      <c r="AE65">
        <v>0.57999999999999996</v>
      </c>
      <c r="AF65">
        <v>0.45</v>
      </c>
      <c r="AG65">
        <v>0.3</v>
      </c>
      <c r="AH65" s="51">
        <v>60</v>
      </c>
      <c r="AI65" s="22"/>
      <c r="AJ65" s="22"/>
      <c r="AK65" s="49"/>
      <c r="AM65" s="22"/>
      <c r="AN65" s="22"/>
      <c r="AO65" s="22"/>
      <c r="AP65" s="51"/>
      <c r="AR65" s="22"/>
      <c r="AS65" s="22"/>
      <c r="AW65" s="22"/>
      <c r="BA65" s="22"/>
      <c r="BE65" s="22"/>
      <c r="BI65" s="22"/>
      <c r="BM65" s="22"/>
      <c r="BN65" s="22"/>
      <c r="BO65" s="22"/>
      <c r="BP65" s="22"/>
      <c r="BQ65" s="22"/>
      <c r="BR65" s="22"/>
      <c r="BS65" s="22"/>
    </row>
    <row r="66" spans="1:71" x14ac:dyDescent="0.25">
      <c r="A66" s="22"/>
      <c r="B66" s="7" t="s">
        <v>3</v>
      </c>
      <c r="C66" s="73" cm="1">
        <f t="array" ref="C66">ROUND(IF(OR(ISBLANK(C64),ISBLANK(C65)),"0",
IF(OR(C64&lt;V24,C64&gt;AF24,C65&lt;U25,C65&gt;U30),"Fuera de rango",
(
(INDEX(V25:AF30,MATCH(C65,U25:U30,1),MATCH(C64,V24:AF24,1))*(INDEX(V24:AF24,1,MATCH(C64,V24:AF24,1)+1)-C64)*(INDEX(U25:U30,MATCH(C65,U25:U30,1)+1,1)-C65)+
INDEX(V25:AF30,MATCH(C65,U25:U30,1)+1,MATCH(C64,V24:AF24,1))*(INDEX(V24:AF24,1,MATCH(C64,V24:AF24,1)+1)-C64)*(C65-INDEX(U25:U30,MATCH(C65,U25:U30,1),1))+
INDEX(V25:AF30,MATCH(C65,U25:U30,1),MATCH(C64,V24:AF24,1)+1)*(C64-INDEX(V24:AF24,1,MATCH(C64,V24:AF24,1),1))*(INDEX(U25:U30,MATCH(C65,U25:U30,1)+1,1)-C65)+
INDEX(V25:AF30,MATCH(C65,U25:U30,1)+1,MATCH(C64,V24:AF24,1)+1)*(C64-INDEX(V24:AF24,1,MATCH(C64,V24:AF24,1),1))*(C65-INDEX(U25:U30,MATCH(C65,U25:U30,1),1))
)
/(
(INDEX(V24:AF24,1,MATCH(C64,V24:AF24,1)+1)-INDEX(V24:AF24,1,MATCH(C64,V24:AF24,1),1))*
(INDEX(U25:U30,MATCH(C65,U25:U30,1)+1,1)-INDEX(U25:U30,MATCH(C65,U25:U30,1),1))
)
))),2)</f>
        <v>0</v>
      </c>
      <c r="D66" s="7" t="s">
        <v>12</v>
      </c>
      <c r="E66" s="82"/>
      <c r="F66" s="7" t="s">
        <v>20</v>
      </c>
      <c r="G66" s="82"/>
      <c r="H66" s="82" t="s">
        <v>215</v>
      </c>
      <c r="I66" s="39">
        <v>0.8</v>
      </c>
      <c r="J66" s="7" t="s">
        <v>40</v>
      </c>
      <c r="K66" s="96">
        <f t="shared" si="0"/>
        <v>0</v>
      </c>
      <c r="L66" s="22"/>
      <c r="M66" s="22"/>
      <c r="N66" s="22"/>
      <c r="O66" s="22"/>
      <c r="P66" s="22"/>
      <c r="Q66" s="22"/>
      <c r="R66" s="22"/>
      <c r="S66" s="49">
        <v>40</v>
      </c>
      <c r="T66">
        <v>0.51</v>
      </c>
      <c r="U66">
        <v>0.62</v>
      </c>
      <c r="V66">
        <v>0.7</v>
      </c>
      <c r="W66">
        <v>0.77</v>
      </c>
      <c r="X66">
        <v>0.81</v>
      </c>
      <c r="Y66">
        <v>0.82</v>
      </c>
      <c r="Z66">
        <v>0.81</v>
      </c>
      <c r="AA66">
        <v>0.78</v>
      </c>
      <c r="AB66">
        <v>0.75</v>
      </c>
      <c r="AC66">
        <v>0.72</v>
      </c>
      <c r="AD66">
        <v>0.64</v>
      </c>
      <c r="AE66">
        <v>0.54</v>
      </c>
      <c r="AF66">
        <v>0.43</v>
      </c>
      <c r="AG66">
        <v>0.3</v>
      </c>
      <c r="AH66" s="51">
        <v>50</v>
      </c>
      <c r="AI66" s="22"/>
      <c r="AJ66" s="22"/>
      <c r="AK66" s="49"/>
      <c r="AM66" s="22"/>
      <c r="AN66" s="22"/>
      <c r="AO66" s="22"/>
      <c r="AP66" s="51"/>
      <c r="AR66" s="22"/>
      <c r="AS66" s="22"/>
      <c r="AW66" s="22"/>
      <c r="BA66" s="22"/>
      <c r="BE66" s="22"/>
      <c r="BI66" s="22"/>
      <c r="BM66" s="22"/>
      <c r="BN66" s="22"/>
      <c r="BO66" s="22"/>
      <c r="BP66" s="22"/>
      <c r="BQ66" s="22"/>
      <c r="BR66" s="22"/>
      <c r="BS66" s="22"/>
    </row>
    <row r="67" spans="1:71" x14ac:dyDescent="0.25">
      <c r="A67" s="22"/>
      <c r="B67" s="7" t="s">
        <v>4</v>
      </c>
      <c r="C67" s="82"/>
      <c r="D67" s="7" t="s">
        <v>0</v>
      </c>
      <c r="E67" s="82"/>
      <c r="F67" s="7" t="s">
        <v>21</v>
      </c>
      <c r="G67" s="82"/>
      <c r="H67" s="82" t="s">
        <v>215</v>
      </c>
      <c r="I67" s="39">
        <v>0.3</v>
      </c>
      <c r="J67" s="7" t="s">
        <v>40</v>
      </c>
      <c r="K67" s="96">
        <f t="shared" si="0"/>
        <v>0</v>
      </c>
      <c r="L67" s="22"/>
      <c r="M67" s="22"/>
      <c r="N67" s="22"/>
      <c r="O67" s="22"/>
      <c r="P67" s="22"/>
      <c r="Q67" s="22"/>
      <c r="R67" s="22"/>
      <c r="S67" s="49">
        <v>50</v>
      </c>
      <c r="T67">
        <v>0.41</v>
      </c>
      <c r="U67">
        <v>0.5</v>
      </c>
      <c r="V67">
        <v>0.57999999999999996</v>
      </c>
      <c r="W67">
        <v>0.64</v>
      </c>
      <c r="X67">
        <v>0.69</v>
      </c>
      <c r="Y67">
        <v>0.71</v>
      </c>
      <c r="Z67">
        <v>0.71</v>
      </c>
      <c r="AA67">
        <v>0.69</v>
      </c>
      <c r="AB67">
        <v>0.67</v>
      </c>
      <c r="AC67">
        <v>0.64</v>
      </c>
      <c r="AD67">
        <v>0.57999999999999996</v>
      </c>
      <c r="AE67">
        <v>0.5</v>
      </c>
      <c r="AF67">
        <v>0.41</v>
      </c>
      <c r="AG67">
        <v>0.3</v>
      </c>
      <c r="AH67" s="51">
        <v>40</v>
      </c>
      <c r="AI67" s="22"/>
      <c r="AJ67" s="22"/>
      <c r="AK67" s="49"/>
      <c r="AM67" s="22"/>
      <c r="AN67" s="22"/>
      <c r="AO67" s="22"/>
      <c r="AP67" s="51"/>
      <c r="AR67" s="22"/>
      <c r="AS67" s="22"/>
      <c r="AW67" s="22"/>
      <c r="BA67" s="22"/>
      <c r="BE67" s="22"/>
      <c r="BI67" s="22"/>
      <c r="BM67" s="22"/>
      <c r="BN67" s="22"/>
      <c r="BO67" s="22"/>
      <c r="BP67" s="22"/>
      <c r="BQ67" s="22"/>
      <c r="BR67" s="22"/>
      <c r="BS67" s="22"/>
    </row>
    <row r="68" spans="1:71" x14ac:dyDescent="0.25">
      <c r="A68" s="22"/>
      <c r="B68" s="7" t="s">
        <v>5</v>
      </c>
      <c r="C68" s="67">
        <v>1</v>
      </c>
      <c r="D68" s="35" t="s">
        <v>13</v>
      </c>
      <c r="E68" s="82"/>
      <c r="F68" s="7" t="s">
        <v>22</v>
      </c>
      <c r="G68" s="82"/>
      <c r="H68" s="82" t="s">
        <v>215</v>
      </c>
      <c r="I68" s="39">
        <v>0.7</v>
      </c>
      <c r="J68" s="7" t="s">
        <v>40</v>
      </c>
      <c r="K68" s="96">
        <f t="shared" si="0"/>
        <v>0</v>
      </c>
      <c r="L68" s="22"/>
      <c r="M68" s="22"/>
      <c r="N68" s="22"/>
      <c r="O68" s="22"/>
      <c r="P68" s="22"/>
      <c r="Q68" s="22"/>
      <c r="R68" s="22"/>
      <c r="S68" s="49">
        <v>60</v>
      </c>
      <c r="T68">
        <v>0.28000000000000003</v>
      </c>
      <c r="U68">
        <v>0.37</v>
      </c>
      <c r="V68">
        <v>0.44</v>
      </c>
      <c r="W68">
        <v>0.5</v>
      </c>
      <c r="X68">
        <v>0.54</v>
      </c>
      <c r="Y68">
        <v>0.56999999999999995</v>
      </c>
      <c r="Z68">
        <v>0.57999999999999996</v>
      </c>
      <c r="AA68">
        <v>0.57999999999999996</v>
      </c>
      <c r="AB68">
        <v>0.56999999999999995</v>
      </c>
      <c r="AC68">
        <v>0.55000000000000004</v>
      </c>
      <c r="AD68">
        <v>0.51</v>
      </c>
      <c r="AE68">
        <v>0.45</v>
      </c>
      <c r="AF68">
        <v>0.38</v>
      </c>
      <c r="AG68">
        <v>0.3</v>
      </c>
      <c r="AH68" s="51">
        <v>30</v>
      </c>
      <c r="AI68" s="22"/>
      <c r="AJ68" s="22"/>
      <c r="AK68" s="49"/>
      <c r="AM68" s="22"/>
      <c r="AN68" s="22"/>
      <c r="AO68" s="22"/>
      <c r="AP68" s="51"/>
      <c r="AR68" s="22"/>
      <c r="AS68" s="22"/>
      <c r="AW68" s="22"/>
      <c r="BA68" s="22"/>
      <c r="BE68" s="22"/>
      <c r="BI68" s="22"/>
      <c r="BM68" s="22"/>
      <c r="BN68" s="22"/>
      <c r="BO68" s="22"/>
      <c r="BP68" s="22"/>
      <c r="BQ68" s="22"/>
      <c r="BR68" s="22"/>
      <c r="BS68" s="22"/>
    </row>
    <row r="69" spans="1:71" x14ac:dyDescent="0.25">
      <c r="A69" s="22"/>
      <c r="B69" s="7" t="s">
        <v>6</v>
      </c>
      <c r="C69" s="82"/>
      <c r="D69" s="7" t="s">
        <v>14</v>
      </c>
      <c r="E69" s="82"/>
      <c r="F69" s="7" t="s">
        <v>23</v>
      </c>
      <c r="G69" s="82"/>
      <c r="H69" s="82" t="s">
        <v>215</v>
      </c>
      <c r="I69" s="39">
        <v>0.5</v>
      </c>
      <c r="J69" s="7" t="s">
        <v>40</v>
      </c>
      <c r="K69" s="96">
        <f t="shared" si="0"/>
        <v>0</v>
      </c>
      <c r="L69" s="22"/>
      <c r="M69" s="22"/>
      <c r="N69" s="22"/>
      <c r="O69" s="22"/>
      <c r="P69" s="22"/>
      <c r="Q69" s="22"/>
      <c r="R69" s="22"/>
      <c r="S69" s="49">
        <v>70</v>
      </c>
      <c r="T69">
        <v>0.15</v>
      </c>
      <c r="U69">
        <v>0.22</v>
      </c>
      <c r="V69">
        <v>0.28000000000000003</v>
      </c>
      <c r="W69">
        <v>0.34</v>
      </c>
      <c r="X69">
        <v>0.39</v>
      </c>
      <c r="Y69">
        <v>0.42</v>
      </c>
      <c r="Z69">
        <v>0.45</v>
      </c>
      <c r="AA69">
        <v>0.45</v>
      </c>
      <c r="AB69">
        <v>0.45</v>
      </c>
      <c r="AC69">
        <v>0.45</v>
      </c>
      <c r="AD69">
        <v>0.43</v>
      </c>
      <c r="AE69">
        <v>0.4</v>
      </c>
      <c r="AF69">
        <v>0.35</v>
      </c>
      <c r="AG69">
        <v>0.3</v>
      </c>
      <c r="AH69" s="51">
        <v>20</v>
      </c>
      <c r="AI69" s="22"/>
      <c r="AJ69" s="22"/>
      <c r="AK69" s="49"/>
      <c r="AM69" s="22"/>
      <c r="AN69" s="22"/>
      <c r="AO69" s="22"/>
      <c r="AP69" s="51"/>
      <c r="AR69" s="22"/>
      <c r="AS69" s="22"/>
      <c r="AW69" s="22"/>
      <c r="BA69" s="22"/>
      <c r="BE69" s="22"/>
      <c r="BI69" s="22"/>
      <c r="BM69" s="22"/>
      <c r="BN69" s="22"/>
      <c r="BO69" s="22"/>
      <c r="BP69" s="22"/>
      <c r="BQ69" s="22"/>
      <c r="BR69" s="22"/>
      <c r="BS69" s="22"/>
    </row>
    <row r="70" spans="1:71" x14ac:dyDescent="0.25">
      <c r="A70" s="22"/>
      <c r="B70" s="7" t="s">
        <v>7</v>
      </c>
      <c r="C70" s="82"/>
      <c r="D70" s="35" t="s">
        <v>15</v>
      </c>
      <c r="E70" s="82"/>
      <c r="F70" s="7" t="s">
        <v>24</v>
      </c>
      <c r="G70" s="82"/>
      <c r="H70" s="82" t="s">
        <v>215</v>
      </c>
      <c r="I70" s="39">
        <v>0.7</v>
      </c>
      <c r="J70" s="7" t="s">
        <v>40</v>
      </c>
      <c r="K70" s="96">
        <f t="shared" si="0"/>
        <v>0</v>
      </c>
      <c r="L70" s="22"/>
      <c r="M70" s="22"/>
      <c r="N70" s="22"/>
      <c r="O70" s="22"/>
      <c r="P70" s="22"/>
      <c r="Q70" s="22"/>
      <c r="R70" s="22"/>
      <c r="S70" s="49">
        <v>80</v>
      </c>
      <c r="T70">
        <v>0</v>
      </c>
      <c r="U70">
        <v>0.06</v>
      </c>
      <c r="V70">
        <v>0.12</v>
      </c>
      <c r="W70">
        <v>0.17</v>
      </c>
      <c r="X70">
        <v>0.22</v>
      </c>
      <c r="Y70">
        <v>0.27</v>
      </c>
      <c r="Z70">
        <v>0.3</v>
      </c>
      <c r="AA70">
        <v>0.33</v>
      </c>
      <c r="AB70">
        <v>0.33</v>
      </c>
      <c r="AC70">
        <v>0.34</v>
      </c>
      <c r="AD70">
        <v>0.35</v>
      </c>
      <c r="AE70">
        <v>0.34</v>
      </c>
      <c r="AF70">
        <v>0.33</v>
      </c>
      <c r="AG70">
        <v>0.3</v>
      </c>
      <c r="AH70" s="51">
        <v>10</v>
      </c>
      <c r="AI70" s="22"/>
      <c r="AJ70" s="22"/>
      <c r="AK70" s="49"/>
      <c r="AM70" s="22"/>
      <c r="AN70" s="22"/>
      <c r="AO70" s="22"/>
      <c r="AP70" s="51"/>
      <c r="AR70" s="22"/>
      <c r="AS70" s="22"/>
      <c r="AW70" s="22"/>
      <c r="BA70" s="22"/>
      <c r="BE70" s="22"/>
      <c r="BI70" s="22"/>
      <c r="BM70" s="22"/>
      <c r="BN70" s="22"/>
      <c r="BO70" s="22"/>
      <c r="BP70" s="22"/>
      <c r="BQ70" s="22"/>
      <c r="BR70" s="22"/>
      <c r="BS70" s="22"/>
    </row>
    <row r="71" spans="1:71" x14ac:dyDescent="0.25">
      <c r="A71" s="22"/>
      <c r="B71" s="7" t="s">
        <v>8</v>
      </c>
      <c r="C71" s="82"/>
      <c r="D71" s="7" t="s">
        <v>16</v>
      </c>
      <c r="E71" s="82"/>
      <c r="F71" s="7" t="s">
        <v>25</v>
      </c>
      <c r="G71" s="82"/>
      <c r="H71" s="82" t="s">
        <v>215</v>
      </c>
      <c r="I71" s="39">
        <v>0.3</v>
      </c>
      <c r="J71" s="7" t="s">
        <v>40</v>
      </c>
      <c r="K71" s="96">
        <f t="shared" si="0"/>
        <v>0</v>
      </c>
      <c r="L71" s="22"/>
      <c r="M71" s="22"/>
      <c r="N71" s="22"/>
      <c r="O71" s="22"/>
      <c r="P71" s="22"/>
      <c r="Q71" s="22"/>
      <c r="R71" s="22"/>
      <c r="S71" s="49">
        <v>90</v>
      </c>
      <c r="T71">
        <v>-0.15</v>
      </c>
      <c r="U71">
        <v>-0.1</v>
      </c>
      <c r="V71">
        <v>-0.05</v>
      </c>
      <c r="W71">
        <v>0</v>
      </c>
      <c r="X71">
        <v>0.05</v>
      </c>
      <c r="Y71">
        <v>0.1</v>
      </c>
      <c r="Z71">
        <v>0.15</v>
      </c>
      <c r="AA71">
        <v>0.19</v>
      </c>
      <c r="AB71">
        <v>0.21</v>
      </c>
      <c r="AC71">
        <v>0.23</v>
      </c>
      <c r="AD71">
        <v>0.26</v>
      </c>
      <c r="AE71">
        <v>0.28000000000000003</v>
      </c>
      <c r="AF71">
        <v>0.3</v>
      </c>
      <c r="AG71">
        <v>0.3</v>
      </c>
      <c r="AH71" s="51">
        <v>0</v>
      </c>
      <c r="AI71" s="22"/>
      <c r="AJ71" s="22"/>
      <c r="AK71" s="49"/>
      <c r="AM71" s="22"/>
      <c r="AN71" s="22"/>
      <c r="AO71" s="22"/>
      <c r="AP71" s="51"/>
      <c r="AR71" s="22"/>
      <c r="AS71" s="22"/>
      <c r="AW71" s="22"/>
      <c r="BA71" s="22"/>
      <c r="BE71" s="22"/>
      <c r="BI71" s="22"/>
      <c r="BM71" s="22"/>
      <c r="BN71" s="22"/>
      <c r="BO71" s="22"/>
      <c r="BP71" s="22"/>
      <c r="BQ71" s="22"/>
      <c r="BR71" s="22"/>
      <c r="BS71" s="22"/>
    </row>
    <row r="72" spans="1:7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49"/>
      <c r="AM72" s="22"/>
      <c r="AN72" s="22"/>
      <c r="AO72" s="22"/>
      <c r="AP72" s="51"/>
      <c r="AR72" s="22"/>
      <c r="AS72" s="22"/>
      <c r="AW72" s="22"/>
      <c r="BA72" s="22"/>
      <c r="BE72" s="22"/>
      <c r="BI72" s="22"/>
      <c r="BM72" s="22"/>
      <c r="BN72" s="22"/>
      <c r="BO72" s="22"/>
      <c r="BP72" s="22"/>
      <c r="BQ72" s="22"/>
      <c r="BR72" s="22"/>
      <c r="BS72" s="22"/>
    </row>
    <row r="73" spans="1:71" x14ac:dyDescent="0.25">
      <c r="A73" s="22"/>
      <c r="B73" s="7" t="s">
        <v>26</v>
      </c>
      <c r="C73" s="7"/>
      <c r="D73" s="22"/>
      <c r="E73" s="7" t="s">
        <v>35</v>
      </c>
      <c r="F73" s="7" t="s">
        <v>10</v>
      </c>
      <c r="G73" s="7" t="s">
        <v>11</v>
      </c>
      <c r="H73" s="7" t="s">
        <v>12</v>
      </c>
      <c r="I73" s="7" t="s">
        <v>34</v>
      </c>
      <c r="J73" s="22"/>
      <c r="K73" s="22"/>
      <c r="L73" s="22"/>
      <c r="M73" s="22"/>
      <c r="N73" s="22"/>
      <c r="O73" s="22"/>
      <c r="P73" s="22"/>
      <c r="Q73" s="22"/>
      <c r="R73" s="22"/>
      <c r="S73" s="47">
        <v>0.2</v>
      </c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49"/>
      <c r="AM73" s="22"/>
      <c r="AN73" s="22"/>
      <c r="AO73" s="22"/>
      <c r="AP73" s="51"/>
      <c r="AR73" s="22"/>
      <c r="AS73" s="22"/>
      <c r="AW73" s="22"/>
      <c r="BA73" s="22"/>
      <c r="BE73" s="22"/>
      <c r="BI73" s="22"/>
      <c r="BM73" s="22"/>
      <c r="BN73" s="22"/>
      <c r="BO73" s="22"/>
      <c r="BP73" s="22"/>
      <c r="BQ73" s="22"/>
      <c r="BR73" s="22"/>
      <c r="BS73" s="22"/>
    </row>
    <row r="74" spans="1:71" x14ac:dyDescent="0.25">
      <c r="A74" s="22"/>
      <c r="B74" s="7" t="s">
        <v>27</v>
      </c>
      <c r="C74" s="10">
        <f>ROUND(C69*C66,2)</f>
        <v>0</v>
      </c>
      <c r="D74" s="22"/>
      <c r="E74" s="7" t="s">
        <v>30</v>
      </c>
      <c r="F74" s="38"/>
      <c r="G74" s="40">
        <f>E65</f>
        <v>0</v>
      </c>
      <c r="H74" s="40">
        <f>E66</f>
        <v>0</v>
      </c>
      <c r="I74" s="10">
        <f>G74*H74</f>
        <v>0</v>
      </c>
      <c r="J74" s="22"/>
      <c r="K74" s="22"/>
      <c r="L74" s="22"/>
      <c r="M74" s="22"/>
      <c r="N74" s="22"/>
      <c r="O74" s="22"/>
      <c r="P74" s="22"/>
      <c r="Q74" s="22"/>
      <c r="R74" s="22"/>
      <c r="S74" t="s">
        <v>172</v>
      </c>
      <c r="T74" s="7">
        <v>-30</v>
      </c>
      <c r="U74" s="7">
        <v>-20</v>
      </c>
      <c r="V74" s="7">
        <v>-10</v>
      </c>
      <c r="W74" s="7">
        <v>0</v>
      </c>
      <c r="X74" s="7">
        <v>10</v>
      </c>
      <c r="Y74" s="7">
        <v>20</v>
      </c>
      <c r="Z74" s="7">
        <v>30</v>
      </c>
      <c r="AA74" s="7">
        <v>40</v>
      </c>
      <c r="AB74" s="7">
        <v>45</v>
      </c>
      <c r="AC74" s="7">
        <v>50</v>
      </c>
      <c r="AD74" s="7">
        <v>60</v>
      </c>
      <c r="AE74" s="7">
        <v>70</v>
      </c>
      <c r="AF74" s="7">
        <v>80</v>
      </c>
      <c r="AG74" s="7">
        <v>90</v>
      </c>
      <c r="AH74" t="s">
        <v>173</v>
      </c>
      <c r="AI74" s="22"/>
      <c r="AJ74" s="22"/>
      <c r="AK74" s="49"/>
      <c r="AM74" s="22"/>
      <c r="AN74" s="22"/>
      <c r="AO74" s="22"/>
      <c r="AP74" s="51"/>
      <c r="AR74" s="22"/>
      <c r="AS74" s="22"/>
      <c r="AW74" s="22"/>
      <c r="BA74" s="22"/>
      <c r="BE74" s="22"/>
      <c r="BI74" s="22"/>
      <c r="BM74" s="22"/>
      <c r="BN74" s="22"/>
      <c r="BO74" s="22"/>
      <c r="BP74" s="22"/>
      <c r="BQ74" s="22"/>
      <c r="BR74" s="22"/>
      <c r="BS74" s="22"/>
    </row>
    <row r="75" spans="1:71" x14ac:dyDescent="0.25">
      <c r="A75" s="22"/>
      <c r="B75" s="7" t="s">
        <v>28</v>
      </c>
      <c r="C75" s="10">
        <f>ROUND(C70*C66*C67,2)</f>
        <v>0</v>
      </c>
      <c r="D75" s="22"/>
      <c r="E75" s="7" t="s">
        <v>31</v>
      </c>
      <c r="F75" s="40">
        <f>E64</f>
        <v>0</v>
      </c>
      <c r="G75" s="38"/>
      <c r="H75" s="40">
        <f>E66</f>
        <v>0</v>
      </c>
      <c r="I75" s="10">
        <f>F75*H75</f>
        <v>0</v>
      </c>
      <c r="J75" s="22"/>
      <c r="K75" s="22"/>
      <c r="L75" s="22"/>
      <c r="M75" s="22"/>
      <c r="N75" s="22"/>
      <c r="O75" s="22"/>
      <c r="P75" s="22"/>
      <c r="Q75" s="22"/>
      <c r="R75" s="22"/>
      <c r="S75" s="49">
        <v>0</v>
      </c>
      <c r="T75">
        <v>0.77</v>
      </c>
      <c r="U75">
        <v>0.87</v>
      </c>
      <c r="V75">
        <v>0.95</v>
      </c>
      <c r="W75">
        <v>1</v>
      </c>
      <c r="X75">
        <v>1.02</v>
      </c>
      <c r="Y75">
        <v>1.01</v>
      </c>
      <c r="Z75">
        <v>0.97</v>
      </c>
      <c r="AA75">
        <v>0.89</v>
      </c>
      <c r="AB75">
        <v>0.85</v>
      </c>
      <c r="AC75">
        <v>0.8</v>
      </c>
      <c r="AD75">
        <v>0.67</v>
      </c>
      <c r="AE75">
        <v>0.53</v>
      </c>
      <c r="AF75">
        <v>0.37</v>
      </c>
      <c r="AG75">
        <v>0.2</v>
      </c>
      <c r="AH75" s="51">
        <v>90</v>
      </c>
      <c r="AI75" s="22"/>
      <c r="AJ75" s="22"/>
      <c r="AK75" s="49"/>
      <c r="AM75" s="22"/>
      <c r="AN75" s="22"/>
      <c r="AO75" s="22"/>
      <c r="AP75" s="51"/>
      <c r="AR75" s="22"/>
      <c r="AS75" s="22"/>
      <c r="AW75" s="22"/>
      <c r="BA75" s="22"/>
      <c r="BE75" s="22"/>
      <c r="BI75" s="22"/>
      <c r="BM75" s="22"/>
      <c r="BN75" s="22"/>
      <c r="BO75" s="22"/>
      <c r="BP75" s="22"/>
      <c r="BQ75" s="22"/>
      <c r="BR75" s="22"/>
      <c r="BS75" s="22"/>
    </row>
    <row r="76" spans="1:71" x14ac:dyDescent="0.25">
      <c r="A76" s="22"/>
      <c r="B76" s="7" t="s">
        <v>29</v>
      </c>
      <c r="C76" s="10">
        <f>ROUND(C71*C66,2)</f>
        <v>0</v>
      </c>
      <c r="D76" s="22"/>
      <c r="E76" s="7" t="s">
        <v>32</v>
      </c>
      <c r="F76" s="38"/>
      <c r="G76" s="40">
        <f>E65</f>
        <v>0</v>
      </c>
      <c r="H76" s="40">
        <f>IF(E66&lt;2,E66,2)</f>
        <v>0</v>
      </c>
      <c r="I76" s="10">
        <f>G76*H76</f>
        <v>0</v>
      </c>
      <c r="J76" s="22"/>
      <c r="K76" s="22"/>
      <c r="L76" s="22"/>
      <c r="M76" s="22"/>
      <c r="N76" s="22"/>
      <c r="O76" s="22"/>
      <c r="P76" s="22"/>
      <c r="Q76" s="22"/>
      <c r="R76" s="22"/>
      <c r="S76" s="49">
        <v>10</v>
      </c>
      <c r="T76">
        <v>0.75</v>
      </c>
      <c r="U76">
        <v>0.86</v>
      </c>
      <c r="V76">
        <v>0.94</v>
      </c>
      <c r="W76">
        <v>0.98</v>
      </c>
      <c r="X76">
        <v>1</v>
      </c>
      <c r="Y76">
        <v>0.99</v>
      </c>
      <c r="Z76">
        <v>0.95</v>
      </c>
      <c r="AA76">
        <v>0.88</v>
      </c>
      <c r="AB76">
        <v>0.84</v>
      </c>
      <c r="AC76">
        <v>0.79</v>
      </c>
      <c r="AD76">
        <v>0.67</v>
      </c>
      <c r="AE76">
        <v>0.52</v>
      </c>
      <c r="AF76">
        <v>0.37</v>
      </c>
      <c r="AG76">
        <v>0.2</v>
      </c>
      <c r="AH76" s="51">
        <v>80</v>
      </c>
      <c r="AI76" s="22"/>
      <c r="AJ76" s="22"/>
      <c r="AK76" s="49"/>
      <c r="AM76" s="22"/>
      <c r="AN76" s="22"/>
      <c r="AO76" s="22"/>
      <c r="AP76" s="51"/>
      <c r="AR76" s="22"/>
      <c r="AS76" s="22"/>
      <c r="AW76" s="22"/>
      <c r="BA76" s="22"/>
      <c r="BE76" s="22"/>
      <c r="BI76" s="22"/>
      <c r="BM76" s="22"/>
      <c r="BN76" s="22"/>
      <c r="BO76" s="22"/>
      <c r="BP76" s="22"/>
      <c r="BQ76" s="22"/>
      <c r="BR76" s="22"/>
      <c r="BS76" s="22"/>
    </row>
    <row r="77" spans="1:71" x14ac:dyDescent="0.25">
      <c r="A77" s="22"/>
      <c r="B77" s="22"/>
      <c r="C77" s="22"/>
      <c r="D77" s="22"/>
      <c r="E77" s="7" t="s">
        <v>33</v>
      </c>
      <c r="F77" s="40">
        <f>E64</f>
        <v>0</v>
      </c>
      <c r="G77" s="38"/>
      <c r="H77" s="40">
        <f>IF(E66&lt;2,E66,2)</f>
        <v>0</v>
      </c>
      <c r="I77" s="10">
        <f>F77*H77</f>
        <v>0</v>
      </c>
      <c r="J77" s="22"/>
      <c r="K77" s="22"/>
      <c r="L77" s="22"/>
      <c r="M77" s="22"/>
      <c r="N77" s="22"/>
      <c r="O77" s="22"/>
      <c r="P77" s="22"/>
      <c r="Q77" s="22"/>
      <c r="R77" s="22"/>
      <c r="S77" s="49">
        <v>20</v>
      </c>
      <c r="T77">
        <v>0.71</v>
      </c>
      <c r="U77">
        <v>0.81</v>
      </c>
      <c r="V77">
        <v>0.89</v>
      </c>
      <c r="W77">
        <v>0.94</v>
      </c>
      <c r="X77">
        <v>0.96</v>
      </c>
      <c r="Y77">
        <v>0.95</v>
      </c>
      <c r="Z77">
        <v>0.91</v>
      </c>
      <c r="AA77">
        <v>0.85</v>
      </c>
      <c r="AB77">
        <v>0.81</v>
      </c>
      <c r="AC77">
        <v>0.76</v>
      </c>
      <c r="AD77">
        <v>0.64</v>
      </c>
      <c r="AE77">
        <v>0.51</v>
      </c>
      <c r="AF77">
        <v>0.36</v>
      </c>
      <c r="AG77">
        <v>0.2</v>
      </c>
      <c r="AH77" s="51">
        <v>70</v>
      </c>
      <c r="AI77" s="22"/>
      <c r="AJ77" s="22"/>
      <c r="AK77" s="49"/>
      <c r="AM77" s="22"/>
      <c r="AN77" s="22"/>
      <c r="AO77" s="22"/>
      <c r="AP77" s="51"/>
      <c r="AR77" s="22"/>
      <c r="AS77" s="22"/>
      <c r="AW77" s="22"/>
      <c r="BA77" s="22"/>
      <c r="BE77" s="22"/>
      <c r="BI77" s="22"/>
      <c r="BM77" s="22"/>
      <c r="BN77" s="22"/>
      <c r="BO77" s="22"/>
      <c r="BP77" s="22"/>
      <c r="BQ77" s="22"/>
      <c r="BR77" s="22"/>
      <c r="BS77" s="22"/>
    </row>
    <row r="78" spans="1:71" x14ac:dyDescent="0.25">
      <c r="A78" s="22"/>
      <c r="B78" s="7" t="s">
        <v>41</v>
      </c>
      <c r="C78" s="7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49">
        <v>30</v>
      </c>
      <c r="T78">
        <v>0.65</v>
      </c>
      <c r="U78">
        <v>0.75</v>
      </c>
      <c r="V78">
        <v>0.82</v>
      </c>
      <c r="W78">
        <v>0.87</v>
      </c>
      <c r="X78">
        <v>0.89</v>
      </c>
      <c r="Y78">
        <v>0.88</v>
      </c>
      <c r="Z78">
        <v>0.85</v>
      </c>
      <c r="AA78">
        <v>0.79</v>
      </c>
      <c r="AB78">
        <v>0.75</v>
      </c>
      <c r="AC78">
        <v>0.71</v>
      </c>
      <c r="AD78">
        <v>0.61</v>
      </c>
      <c r="AE78">
        <v>0.48</v>
      </c>
      <c r="AF78">
        <v>0.35</v>
      </c>
      <c r="AG78">
        <v>0.2</v>
      </c>
      <c r="AH78" s="51">
        <v>60</v>
      </c>
      <c r="AI78" s="22"/>
      <c r="AJ78" s="22"/>
      <c r="AK78" s="49"/>
      <c r="AM78" s="22"/>
      <c r="AN78" s="22"/>
      <c r="AO78" s="22"/>
      <c r="AP78" s="51"/>
      <c r="AR78" s="22"/>
      <c r="AS78" s="22"/>
      <c r="AW78" s="22"/>
      <c r="BA78" s="22"/>
      <c r="BE78" s="22"/>
      <c r="BI78" s="22"/>
      <c r="BM78" s="22"/>
      <c r="BN78" s="22"/>
      <c r="BO78" s="22"/>
      <c r="BP78" s="22"/>
      <c r="BQ78" s="22"/>
      <c r="BR78" s="22"/>
      <c r="BS78" s="22"/>
    </row>
    <row r="79" spans="1:71" x14ac:dyDescent="0.25">
      <c r="A79" s="22"/>
      <c r="B79" s="22"/>
      <c r="C79" s="7" t="s">
        <v>0</v>
      </c>
      <c r="D79" s="7" t="s">
        <v>45</v>
      </c>
      <c r="E79" s="7" t="s">
        <v>46</v>
      </c>
      <c r="F79" s="7" t="s">
        <v>47</v>
      </c>
      <c r="G79" s="7" t="s">
        <v>48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49">
        <v>40</v>
      </c>
      <c r="T79">
        <v>0.56000000000000005</v>
      </c>
      <c r="U79">
        <v>0.65</v>
      </c>
      <c r="V79">
        <v>0.72</v>
      </c>
      <c r="W79">
        <v>0.77</v>
      </c>
      <c r="X79">
        <v>0.79</v>
      </c>
      <c r="Y79">
        <v>0.76</v>
      </c>
      <c r="Z79">
        <v>0.72</v>
      </c>
      <c r="AA79">
        <v>0.68</v>
      </c>
      <c r="AB79">
        <v>0.65</v>
      </c>
      <c r="AC79">
        <v>0.65</v>
      </c>
      <c r="AD79">
        <v>0.56000000000000005</v>
      </c>
      <c r="AE79">
        <v>0.45</v>
      </c>
      <c r="AF79">
        <v>0.33</v>
      </c>
      <c r="AG79">
        <v>0.2</v>
      </c>
      <c r="AH79" s="51">
        <v>50</v>
      </c>
      <c r="AI79" s="22"/>
      <c r="AJ79" s="22"/>
      <c r="AK79" s="49"/>
      <c r="AM79" s="22"/>
      <c r="AN79" s="22"/>
      <c r="AO79" s="22"/>
      <c r="AP79" s="51"/>
      <c r="AR79" s="22"/>
      <c r="AS79" s="22"/>
      <c r="AW79" s="22"/>
      <c r="BA79" s="22"/>
      <c r="BE79" s="22"/>
      <c r="BI79" s="22"/>
      <c r="BM79" s="22"/>
      <c r="BN79" s="22"/>
      <c r="BO79" s="22"/>
      <c r="BP79" s="22"/>
      <c r="BQ79" s="22"/>
      <c r="BR79" s="22"/>
      <c r="BS79" s="22"/>
    </row>
    <row r="80" spans="1:71" x14ac:dyDescent="0.25">
      <c r="A80" s="22"/>
      <c r="B80" s="7" t="s">
        <v>42</v>
      </c>
      <c r="C80" s="40">
        <f>E$67</f>
        <v>0</v>
      </c>
      <c r="D80" s="41">
        <f>C74</f>
        <v>0</v>
      </c>
      <c r="E80" s="37">
        <f>I74</f>
        <v>0</v>
      </c>
      <c r="F80" s="37">
        <f>I76</f>
        <v>0</v>
      </c>
      <c r="G80" s="10">
        <f>C80*D80+E80+F80</f>
        <v>0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49">
        <v>50</v>
      </c>
      <c r="T80">
        <v>0.46</v>
      </c>
      <c r="U80">
        <v>0.54</v>
      </c>
      <c r="V80">
        <v>0.6</v>
      </c>
      <c r="W80">
        <v>0.64</v>
      </c>
      <c r="X80">
        <v>0.67</v>
      </c>
      <c r="Y80">
        <v>0.67</v>
      </c>
      <c r="Z80">
        <v>0.66</v>
      </c>
      <c r="AA80">
        <v>0.62</v>
      </c>
      <c r="AB80">
        <v>0.6</v>
      </c>
      <c r="AC80">
        <v>0.56999999999999995</v>
      </c>
      <c r="AD80">
        <v>0.49</v>
      </c>
      <c r="AE80">
        <v>0.41</v>
      </c>
      <c r="AF80">
        <v>0.31</v>
      </c>
      <c r="AG80">
        <v>0.2</v>
      </c>
      <c r="AH80" s="51">
        <v>40</v>
      </c>
      <c r="AI80" s="22"/>
      <c r="AJ80" s="22"/>
      <c r="AK80" s="49"/>
      <c r="AM80" s="22"/>
      <c r="AN80" s="22"/>
      <c r="AO80" s="22"/>
      <c r="AP80" s="51"/>
      <c r="AR80" s="22"/>
      <c r="AS80" s="22"/>
      <c r="AW80" s="22"/>
      <c r="BA80" s="22"/>
      <c r="BE80" s="22"/>
      <c r="BI80" s="22"/>
      <c r="BM80" s="22"/>
      <c r="BN80" s="22"/>
      <c r="BO80" s="22"/>
      <c r="BP80" s="22"/>
      <c r="BQ80" s="22"/>
      <c r="BR80" s="22"/>
      <c r="BS80" s="22"/>
    </row>
    <row r="81" spans="1:71" x14ac:dyDescent="0.25">
      <c r="A81" s="22"/>
      <c r="B81" s="7" t="s">
        <v>43</v>
      </c>
      <c r="C81" s="40">
        <f>E$67</f>
        <v>0</v>
      </c>
      <c r="D81" s="41">
        <f>C75</f>
        <v>0</v>
      </c>
      <c r="E81" s="37">
        <f>I75</f>
        <v>0</v>
      </c>
      <c r="F81" s="37">
        <f>I77</f>
        <v>0</v>
      </c>
      <c r="G81" s="10">
        <f>C81*D81+E81+F81</f>
        <v>0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49">
        <v>60</v>
      </c>
      <c r="T81">
        <v>0.33</v>
      </c>
      <c r="U81">
        <v>0.4</v>
      </c>
      <c r="V81">
        <v>0.46</v>
      </c>
      <c r="W81">
        <v>0.5</v>
      </c>
      <c r="X81">
        <v>0.53</v>
      </c>
      <c r="Y81">
        <v>0.54</v>
      </c>
      <c r="Z81">
        <v>0.53</v>
      </c>
      <c r="AA81">
        <v>0.51</v>
      </c>
      <c r="AB81">
        <v>0.47</v>
      </c>
      <c r="AC81">
        <v>0.47</v>
      </c>
      <c r="AD81">
        <v>0.42</v>
      </c>
      <c r="AE81">
        <v>0.36</v>
      </c>
      <c r="AF81">
        <v>0.28000000000000003</v>
      </c>
      <c r="AG81">
        <v>0.2</v>
      </c>
      <c r="AH81" s="51">
        <v>30</v>
      </c>
      <c r="AI81" s="22"/>
      <c r="AJ81" s="22"/>
      <c r="AK81" s="49"/>
      <c r="AM81" s="22"/>
      <c r="AN81" s="22"/>
      <c r="AO81" s="22"/>
      <c r="AP81" s="51"/>
      <c r="AR81" s="22"/>
      <c r="AS81" s="22"/>
      <c r="AW81" s="22"/>
      <c r="BA81" s="22"/>
      <c r="BE81" s="22"/>
      <c r="BI81" s="22"/>
      <c r="BM81" s="22"/>
      <c r="BN81" s="22"/>
      <c r="BO81" s="22"/>
      <c r="BP81" s="22"/>
      <c r="BQ81" s="22"/>
      <c r="BR81" s="22"/>
      <c r="BS81" s="22"/>
    </row>
    <row r="82" spans="1:71" x14ac:dyDescent="0.25">
      <c r="A82" s="22"/>
      <c r="B82" s="7" t="s">
        <v>44</v>
      </c>
      <c r="C82" s="40">
        <f>E$67</f>
        <v>0</v>
      </c>
      <c r="D82" s="41">
        <f>C76</f>
        <v>0</v>
      </c>
      <c r="E82" s="38"/>
      <c r="F82" s="38"/>
      <c r="G82" s="10">
        <f>C82*D82</f>
        <v>0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49">
        <v>70</v>
      </c>
      <c r="T82">
        <v>0.2</v>
      </c>
      <c r="U82">
        <v>0.25</v>
      </c>
      <c r="V82">
        <v>0.3</v>
      </c>
      <c r="W82">
        <v>0.34</v>
      </c>
      <c r="X82">
        <v>0.37</v>
      </c>
      <c r="Y82">
        <v>0.39</v>
      </c>
      <c r="Z82">
        <v>0.4</v>
      </c>
      <c r="AA82">
        <v>0.39</v>
      </c>
      <c r="AB82">
        <v>0.38</v>
      </c>
      <c r="AC82">
        <v>0.37</v>
      </c>
      <c r="AD82">
        <v>0.34</v>
      </c>
      <c r="AE82">
        <v>0.3</v>
      </c>
      <c r="AF82">
        <v>0.26</v>
      </c>
      <c r="AG82">
        <v>0.2</v>
      </c>
      <c r="AH82" s="51">
        <v>20</v>
      </c>
      <c r="AI82" s="22"/>
      <c r="AJ82" s="22"/>
      <c r="AK82" s="49"/>
      <c r="AM82" s="22"/>
      <c r="AN82" s="22"/>
      <c r="AO82" s="22"/>
      <c r="AP82" s="51"/>
      <c r="AR82" s="22"/>
      <c r="AS82" s="22"/>
      <c r="AW82" s="22"/>
      <c r="BA82" s="22"/>
      <c r="BE82" s="22"/>
      <c r="BI82" s="22"/>
      <c r="BM82" s="22"/>
      <c r="BN82" s="22"/>
      <c r="BO82" s="22"/>
      <c r="BP82" s="22"/>
      <c r="BQ82" s="22"/>
      <c r="BR82" s="22"/>
      <c r="BS82" s="22"/>
    </row>
    <row r="83" spans="1:71" x14ac:dyDescent="0.25">
      <c r="A83" s="22"/>
      <c r="B83" s="22"/>
      <c r="C83" s="31" t="s">
        <v>217</v>
      </c>
      <c r="D83" s="22"/>
      <c r="E83" s="22"/>
      <c r="F83" s="22"/>
      <c r="G83" s="22"/>
      <c r="H83" s="22"/>
      <c r="I83" s="22"/>
      <c r="J83" s="22"/>
      <c r="K83" s="53"/>
      <c r="L83" s="22"/>
      <c r="M83" s="22"/>
      <c r="N83" s="22"/>
      <c r="O83" s="22"/>
      <c r="P83" s="22"/>
      <c r="Q83" s="22"/>
      <c r="R83" s="22"/>
      <c r="S83" s="49">
        <v>80</v>
      </c>
      <c r="T83">
        <v>0.05</v>
      </c>
      <c r="U83">
        <v>0.09</v>
      </c>
      <c r="V83">
        <v>0.14000000000000001</v>
      </c>
      <c r="W83">
        <v>0.17</v>
      </c>
      <c r="X83">
        <v>0.21</v>
      </c>
      <c r="Y83">
        <v>0.23</v>
      </c>
      <c r="Z83">
        <v>0.25</v>
      </c>
      <c r="AA83">
        <v>0.26</v>
      </c>
      <c r="AB83">
        <v>0.26</v>
      </c>
      <c r="AC83">
        <v>0.26</v>
      </c>
      <c r="AD83">
        <v>0.26</v>
      </c>
      <c r="AE83">
        <v>0.25</v>
      </c>
      <c r="AF83">
        <v>0.23</v>
      </c>
      <c r="AG83">
        <v>0.2</v>
      </c>
      <c r="AH83" s="51">
        <v>10</v>
      </c>
      <c r="AI83" s="22"/>
      <c r="AJ83" s="22"/>
      <c r="AK83" s="49"/>
      <c r="AM83" s="22"/>
      <c r="AN83" s="22"/>
      <c r="AO83" s="22"/>
      <c r="AP83" s="51"/>
      <c r="AR83" s="22"/>
      <c r="AS83" s="22"/>
      <c r="AW83" s="22"/>
      <c r="BA83" s="22"/>
      <c r="BE83" s="22"/>
      <c r="BI83" s="22"/>
      <c r="BM83" s="22"/>
      <c r="BN83" s="22"/>
      <c r="BO83" s="22"/>
      <c r="BP83" s="22"/>
      <c r="BQ83" s="22"/>
      <c r="BR83" s="22"/>
      <c r="BS83" s="22"/>
    </row>
    <row r="84" spans="1:71" x14ac:dyDescent="0.25">
      <c r="A84" s="22"/>
      <c r="B84" s="7" t="s">
        <v>49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49">
        <v>90</v>
      </c>
      <c r="T84">
        <v>-0.1</v>
      </c>
      <c r="U84">
        <v>-7.0000000000000007E-2</v>
      </c>
      <c r="V84">
        <v>-0.03</v>
      </c>
      <c r="W84">
        <v>0</v>
      </c>
      <c r="X84">
        <v>0.03</v>
      </c>
      <c r="Y84">
        <v>7.0000000000000007E-2</v>
      </c>
      <c r="Z84">
        <v>0.1</v>
      </c>
      <c r="AA84">
        <v>0.13</v>
      </c>
      <c r="AB84">
        <v>0.14000000000000001</v>
      </c>
      <c r="AC84">
        <v>0.15</v>
      </c>
      <c r="AD84">
        <v>0.17</v>
      </c>
      <c r="AE84">
        <v>0.19</v>
      </c>
      <c r="AF84">
        <v>0.2</v>
      </c>
      <c r="AG84">
        <v>0.2</v>
      </c>
      <c r="AH84" s="51">
        <v>0</v>
      </c>
      <c r="AI84" s="22"/>
      <c r="AJ84" s="22"/>
      <c r="AK84" s="49"/>
      <c r="AM84" s="22"/>
      <c r="AN84" s="22"/>
      <c r="AO84" s="22"/>
      <c r="AP84" s="51"/>
      <c r="AR84" s="22"/>
      <c r="AS84" s="22"/>
      <c r="AW84" s="22"/>
      <c r="BA84" s="22"/>
      <c r="BE84" s="22"/>
      <c r="BI84" s="22"/>
      <c r="BM84" s="22"/>
      <c r="BN84" s="22"/>
      <c r="BO84" s="22"/>
      <c r="BP84" s="22"/>
      <c r="BQ84" s="22"/>
      <c r="BR84" s="22"/>
      <c r="BS84" s="22"/>
    </row>
    <row r="85" spans="1:71" x14ac:dyDescent="0.25">
      <c r="A85" s="22"/>
      <c r="B85" s="7" t="s">
        <v>39</v>
      </c>
      <c r="C85" s="7" t="s">
        <v>47</v>
      </c>
      <c r="D85" s="7" t="s">
        <v>62</v>
      </c>
      <c r="E85" s="7" t="s">
        <v>63</v>
      </c>
      <c r="F85" s="4" t="s">
        <v>64</v>
      </c>
      <c r="G85" s="4" t="s">
        <v>65</v>
      </c>
      <c r="H85" s="6" t="s">
        <v>66</v>
      </c>
      <c r="I85" s="6" t="s">
        <v>67</v>
      </c>
      <c r="J85" s="7"/>
      <c r="K85" s="6" t="s">
        <v>68</v>
      </c>
      <c r="L85" s="6" t="s">
        <v>69</v>
      </c>
      <c r="M85" s="6" t="s">
        <v>70</v>
      </c>
      <c r="N85" s="6" t="s">
        <v>71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49"/>
      <c r="AM85" s="22"/>
      <c r="AN85" s="22"/>
      <c r="AO85" s="22"/>
      <c r="AP85" s="51"/>
      <c r="AR85" s="22"/>
      <c r="AS85" s="22"/>
      <c r="AW85" s="22"/>
      <c r="BA85" s="22"/>
      <c r="BE85" s="22"/>
      <c r="BI85" s="22"/>
      <c r="BM85" s="22"/>
      <c r="BN85" s="22"/>
      <c r="BO85" s="22"/>
      <c r="BP85" s="22"/>
      <c r="BQ85" s="22"/>
      <c r="BR85" s="22"/>
      <c r="BS85" s="22"/>
    </row>
    <row r="86" spans="1:71" x14ac:dyDescent="0.25">
      <c r="A86" s="36" t="s">
        <v>50</v>
      </c>
      <c r="B86" s="82">
        <v>0</v>
      </c>
      <c r="C86" s="39">
        <v>1.35</v>
      </c>
      <c r="D86" s="10">
        <f>TRUNC(B86/C86,2)</f>
        <v>0</v>
      </c>
      <c r="E86" s="82"/>
      <c r="F86" s="82"/>
      <c r="G86" s="82"/>
      <c r="H86" s="82" t="s">
        <v>215</v>
      </c>
      <c r="I86" s="97" t="str" cm="1">
        <f t="array" ref="I86">IF(OR(F86="",G86=""),"",
 (INDEX(CHOOSE(MATCH($E$68,{0.4;0.3;0.2;0.1;0},0),$T$49:$AG$58,$T$62:$AG$71,$T$75:$AG$84,$T$88:$AG$97,$T$101:$AG$110),
   MATCH(G86,$S$62:$S$71,1),
   MATCH(F86,$T$61:$AG$61,1))
 *(INDEX($T$61:$AG$61,MATCH(F86,$T$61:$AG$61,1)+1)-F86)
 *(INDEX($S$62:$S$71,MATCH(G86,$S$62:$S$71,1)+1)-G86)
+
 INDEX(CHOOSE(MATCH($E$68,{0.4;0.3;0.2;0.1;0},0),$T$49:$AG$58,$T$62:$AG$71,$T$75:$AG$84,$T$88:$AG$97,$T$101:$AG$110),
   MATCH(G86,$S$62:$S$71,1)+1,
   MATCH(F86,$T$61:$AG$61,1))
 *(INDEX($T$61:$AG$61,MATCH(F86,$T$61:$AG$61,1)+1)-F86)
 *(G86-INDEX($S$62:$S$71,MATCH(G86,$S$62:$S$71,1)))
+
 INDEX(CHOOSE(MATCH($E$68,{0.4;0.3;0.2;0.1;0},0),$T$49:$AG$58,$T$62:$AG$71,$T$75:$AG$84,$T$88:$AG$97,$T$101:$AG$110),
   MATCH(G86,$S$62:$S$71,1),
   MATCH(F86,$T$61:$AG$61,1)+1)
 *(F86-INDEX($T$61:$AG$61,MATCH(F86,$T$61:$AG$61,1)))
 *(INDEX($S$62:$S$71,MATCH(G86,$S$62:$S$71,1)+1)-G86)
+
 INDEX(CHOOSE(MATCH($E$68,{0.4;0.3;0.2;0.1;0},0),$T$49:$AG$58,$T$62:$AG$71,$T$75:$AG$84,$T$88:$AG$97,$T$101:$AG$110),
   MATCH(G86,$S$62:$S$71,1)+1,
   MATCH(F86,$T$61:$AG$61,1)+1)
 *(F86-INDEX($T$61:$AG$61,MATCH(F86,$T$61:$AG$61,1)))
 *(G86-INDEX($S$62:$S$71,MATCH(G86,$S$62:$S$71,1))))
 /
 ((INDEX($T$61:$AG$61,MATCH(F86,$T$61:$AG$61,1)+1)-INDEX($T$61:$AG$61,MATCH(F86,$T$61:$AG$61,1)))
  *
 (INDEX($S$62:$S$71,MATCH(G86,$S$62:$S$71,1)+1)-INDEX($S$62:$S$71,MATCH(G86,$S$62:$S$71,1)))))</f>
        <v/>
      </c>
      <c r="J86" s="2"/>
      <c r="K86" s="10">
        <f>TRUNC(IFERROR(D86*I86,0),2)</f>
        <v>0</v>
      </c>
      <c r="L86" s="97" t="str" cm="1">
        <f t="array" ref="L86">IF(OR(F86="",G86=""),"",
IF((INDEX($T$61:$AG$61,MIN(MATCH(F86,$T$61:$AG$61,1)+1,31))-INDEX($T$61:$AG$61,MATCH(F86,$T$61:$AG$61,1)))*(INDEX($AH$62:$AH$71,MIN(MATCH(G86,$AH$62:$AH$71,-1)+1,10))-INDEX($AH$62:$AH$71,MATCH(G86,$AH$62:$AH$71,-1)))=0,
INDEX(CHOOSE(MATCH($E$68,{0.4;0.3;0.2;0.1;0},0),
        $T$49:$AG$58,$T$62:$AG$71,$T$75:$AG$84,$T$88:$AG$97,$T$101:$AG$110),
   MATCH(G86,$AH$62:$AH$71,-1),
   MATCH(F86,$T$61:$AG$61,1)),
(INDEX(CHOOSE(MATCH($E$68,{0.4;0.3;0.2;0.1;0},0),
        $T$49:$AG$58,$T$62:$AG$71,$T$75:$AG$84,$T$88:$AG$97,$T$101:$AG$110),
   MATCH(G86,$AH$62:$AH$71,-1),
   MATCH(F86,$T$61:$AG$61,1))
 *(INDEX($T$61:$AG$61,MIN(MATCH(F86,$T$61:$AG$61,1)+1,31))-F86)
 *(INDEX($AH$62:$AH$71,MIN(MATCH(G86,$AH$62:$AH$71,-1)+1,10))-G86)
+
 INDEX(CHOOSE(MATCH($E$68,{0.4;0.3;0.2;0.1;0},0),
        $T$49:$AG$58,$T$62:$AG$71,$T$75:$AG$84,$T$88:$AG$97,$T$101:$AG$110),
   MIN(MATCH(G86,$AH$62:$AH$71,-1)+1,10),
   MATCH(F86,$T$61:$AG$61,1))
 *(INDEX($T$61:$AG$61,MIN(MATCH(F86,$T$61:$AG$61,1)+1,31))-F86)
 *(G86-INDEX($AH$62:$AH$71,MATCH(G86,$AH$62:$AH$71,-1)))
+
 INDEX(CHOOSE(MATCH($E$68,{0.4;0.3;0.2;0.1;0},0),
        $T$49:$AG$58,$T$62:$AG$71,$T$75:$AG$84,$T$88:$AG$97,$T$101:$AG$110),
   MATCH(G86,$AH$62:$AH$71,-1),
   MIN(MATCH(F86,$T$61:$AG$61,1)+1,31))
 *(F86-INDEX($T$61:$AG$61,MATCH(F86,$T$61:$AG$61,1)))
 *(INDEX($AH$62:$AH$71,MIN(MATCH(G86,$AH$62:$AH$71,-1)+1,10))-G86)
+
 INDEX(CHOOSE(MATCH($E$68,{0.4;0.3;0.2;0.1;0},0),
        $T$49:$AG$58,$T$62:$AG$71,$T$75:$AG$84,$T$88:$AG$97,$T$101:$AG$110),
   MIN(MATCH(G86,$AH$62:$AH$71,-1)+1,10),
   MIN(MATCH(F86,$T$61:$AG$61,1)+1,31))
 *(F86-INDEX($T$61:$AG$61,MATCH(F86,$T$61:$AG$61,1)))
 *(G86-INDEX($AH$62:$AH$71,MATCH(G86,$AH$62:$AH$71,-1))))
 /
 ((INDEX($T$61:$AG$61,MIN(MATCH(F86,$T$61:$AG$61,1)+1,31))-INDEX($T$61:$AG$61,MATCH(F86,$T$61:$AG$61,1)))
  *
 (INDEX($AH$62:$AH$71,MIN(MATCH(G86,$AH$62:$AH$71,-1)+1,10))-INDEX($AH$62:$AH$71,MATCH(G86,$AH$62:$AH$71,-1))))))</f>
        <v/>
      </c>
      <c r="M86" s="10">
        <f>TRUNC(IFERROR(D86*L86,0),2)</f>
        <v>0</v>
      </c>
      <c r="N86" s="10">
        <f>TRUNC(D86*E86,2)</f>
        <v>0</v>
      </c>
      <c r="O86" s="22"/>
      <c r="P86" s="22"/>
      <c r="Q86" s="22"/>
      <c r="R86" s="22"/>
      <c r="S86" s="47">
        <v>0.1</v>
      </c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49"/>
      <c r="AM86" s="22"/>
      <c r="AN86" s="22"/>
      <c r="AO86" s="22"/>
      <c r="AP86" s="51"/>
      <c r="AR86" s="22"/>
      <c r="AS86" s="22"/>
      <c r="AW86" s="22"/>
      <c r="BA86" s="22"/>
      <c r="BE86" s="22"/>
      <c r="BI86" s="22"/>
      <c r="BM86" s="22"/>
      <c r="BN86" s="22"/>
      <c r="BO86" s="22"/>
      <c r="BP86" s="22"/>
      <c r="BQ86" s="22"/>
      <c r="BR86" s="22"/>
      <c r="BS86" s="22"/>
    </row>
    <row r="87" spans="1:71" x14ac:dyDescent="0.25">
      <c r="A87" s="36" t="s">
        <v>51</v>
      </c>
      <c r="B87" s="82">
        <v>0</v>
      </c>
      <c r="C87" s="39">
        <v>1.35</v>
      </c>
      <c r="D87" s="10">
        <f t="shared" ref="D87:D91" si="1">TRUNC(B87/C87,2)</f>
        <v>0</v>
      </c>
      <c r="E87" s="82"/>
      <c r="F87" s="82"/>
      <c r="G87" s="82"/>
      <c r="H87" s="82" t="s">
        <v>215</v>
      </c>
      <c r="I87" s="97" t="str" cm="1">
        <f t="array" ref="I87">IF(OR(F87="",G87=""),"",
 (INDEX(CHOOSE(MATCH($E$68,{0.4;0.3;0.2;0.1;0},0),$T$49:$AG$58,$T$62:$AG$71,$T$75:$AG$84,$T$88:$AG$97,$T$101:$AG$110),
   MATCH(G87,$S$62:$S$71,1),
   MATCH(F87,$T$61:$AG$61,1))
 *(INDEX($T$61:$AG$61,MATCH(F87,$T$61:$AG$61,1)+1)-F87)
 *(INDEX($S$62:$S$71,MATCH(G87,$S$62:$S$71,1)+1)-G87)
+
 INDEX(CHOOSE(MATCH($E$68,{0.4;0.3;0.2;0.1;0},0),$T$49:$AG$58,$T$62:$AG$71,$T$75:$AG$84,$T$88:$AG$97,$T$101:$AG$110),
   MATCH(G87,$S$62:$S$71,1)+1,
   MATCH(F87,$T$61:$AG$61,1))
 *(INDEX($T$61:$AG$61,MATCH(F87,$T$61:$AG$61,1)+1)-F87)
 *(G87-INDEX($S$62:$S$71,MATCH(G87,$S$62:$S$71,1)))
+
 INDEX(CHOOSE(MATCH($E$68,{0.4;0.3;0.2;0.1;0},0),$T$49:$AG$58,$T$62:$AG$71,$T$75:$AG$84,$T$88:$AG$97,$T$101:$AG$110),
   MATCH(G87,$S$62:$S$71,1),
   MATCH(F87,$T$61:$AG$61,1)+1)
 *(F87-INDEX($T$61:$AG$61,MATCH(F87,$T$61:$AG$61,1)))
 *(INDEX($S$62:$S$71,MATCH(G87,$S$62:$S$71,1)+1)-G87)
+
 INDEX(CHOOSE(MATCH($E$68,{0.4;0.3;0.2;0.1;0},0),$T$49:$AG$58,$T$62:$AG$71,$T$75:$AG$84,$T$88:$AG$97,$T$101:$AG$110),
   MATCH(G87,$S$62:$S$71,1)+1,
   MATCH(F87,$T$61:$AG$61,1)+1)
 *(F87-INDEX($T$61:$AG$61,MATCH(F87,$T$61:$AG$61,1)))
 *(G87-INDEX($S$62:$S$71,MATCH(G87,$S$62:$S$71,1))))
 /
 ((INDEX($T$61:$AG$61,MATCH(F87,$T$61:$AG$61,1)+1)-INDEX($T$61:$AG$61,MATCH(F87,$T$61:$AG$61,1)))
  *
 (INDEX($S$62:$S$71,MATCH(G87,$S$62:$S$71,1)+1)-INDEX($S$62:$S$71,MATCH(G87,$S$62:$S$71,1)))))</f>
        <v/>
      </c>
      <c r="K87" s="10">
        <f>TRUNC(IFERROR(D87*I87,0),2)</f>
        <v>0</v>
      </c>
      <c r="L87" s="97" t="str" cm="1">
        <f t="array" ref="L87">IF(OR(F87="",G87=""),"",
IF((INDEX($T$61:$AG$61,MIN(MATCH(F87,$T$61:$AG$61,1)+1,31))-INDEX($T$61:$AG$61,MATCH(F87,$T$61:$AG$61,1)))*(INDEX($AH$62:$AH$71,MIN(MATCH(G87,$AH$62:$AH$71,-1)+1,10))-INDEX($AH$62:$AH$71,MATCH(G87,$AH$62:$AH$71,-1)))=0,
INDEX(CHOOSE(MATCH($E$68,{0.4;0.3;0.2;0.1;0},0),
        $T$49:$AG$58,$T$62:$AG$71,$T$75:$AG$84,$T$88:$AG$97,$T$101:$AG$110),
   MATCH(G87,$AH$62:$AH$71,-1),
   MATCH(F87,$T$61:$AG$61,1)),
(INDEX(CHOOSE(MATCH($E$68,{0.4;0.3;0.2;0.1;0},0),
        $T$49:$AG$58,$T$62:$AG$71,$T$75:$AG$84,$T$88:$AG$97,$T$101:$AG$110),
   MATCH(G87,$AH$62:$AH$71,-1),
   MATCH(F87,$T$61:$AG$61,1))
 *(INDEX($T$61:$AG$61,MIN(MATCH(F87,$T$61:$AG$61,1)+1,31))-F87)
 *(INDEX($AH$62:$AH$71,MIN(MATCH(G87,$AH$62:$AH$71,-1)+1,10))-G87)
+
 INDEX(CHOOSE(MATCH($E$68,{0.4;0.3;0.2;0.1;0},0),
        $T$49:$AG$58,$T$62:$AG$71,$T$75:$AG$84,$T$88:$AG$97,$T$101:$AG$110),
   MIN(MATCH(G87,$AH$62:$AH$71,-1)+1,10),
   MATCH(F87,$T$61:$AG$61,1))
 *(INDEX($T$61:$AG$61,MIN(MATCH(F87,$T$61:$AG$61,1)+1,31))-F87)
 *(G87-INDEX($AH$62:$AH$71,MATCH(G87,$AH$62:$AH$71,-1)))
+
 INDEX(CHOOSE(MATCH($E$68,{0.4;0.3;0.2;0.1;0},0),
        $T$49:$AG$58,$T$62:$AG$71,$T$75:$AG$84,$T$88:$AG$97,$T$101:$AG$110),
   MATCH(G87,$AH$62:$AH$71,-1),
   MIN(MATCH(F87,$T$61:$AG$61,1)+1,31))
 *(F87-INDEX($T$61:$AG$61,MATCH(F87,$T$61:$AG$61,1)))
 *(INDEX($AH$62:$AH$71,MIN(MATCH(G87,$AH$62:$AH$71,-1)+1,10))-G87)
+
 INDEX(CHOOSE(MATCH($E$68,{0.4;0.3;0.2;0.1;0},0),
        $T$49:$AG$58,$T$62:$AG$71,$T$75:$AG$84,$T$88:$AG$97,$T$101:$AG$110),
   MIN(MATCH(G87,$AH$62:$AH$71,-1)+1,10),
   MIN(MATCH(F87,$T$61:$AG$61,1)+1,31))
 *(F87-INDEX($T$61:$AG$61,MATCH(F87,$T$61:$AG$61,1)))
 *(G87-INDEX($AH$62:$AH$71,MATCH(G87,$AH$62:$AH$71,-1))))
 /
 ((INDEX($T$61:$AG$61,MIN(MATCH(F87,$T$61:$AG$61,1)+1,31))-INDEX($T$61:$AG$61,MATCH(F87,$T$61:$AG$61,1)))
  *
 (INDEX($AH$62:$AH$71,MIN(MATCH(G87,$AH$62:$AH$71,-1)+1,10))-INDEX($AH$62:$AH$71,MATCH(G87,$AH$62:$AH$71,-1))))))</f>
        <v/>
      </c>
      <c r="M87" s="10">
        <f t="shared" ref="M87:M91" si="2">TRUNC(IFERROR(D87*L87,0),2)</f>
        <v>0</v>
      </c>
      <c r="N87" s="10">
        <f t="shared" ref="N87:N91" si="3">TRUNC(D87*E87,2)</f>
        <v>0</v>
      </c>
      <c r="O87" s="22"/>
      <c r="P87" s="22"/>
      <c r="Q87" s="22"/>
      <c r="R87" s="22"/>
      <c r="S87" t="s">
        <v>172</v>
      </c>
      <c r="T87" s="7">
        <v>-30</v>
      </c>
      <c r="U87" s="7">
        <v>-20</v>
      </c>
      <c r="V87" s="7">
        <v>-10</v>
      </c>
      <c r="W87" s="7">
        <v>0</v>
      </c>
      <c r="X87" s="7">
        <v>10</v>
      </c>
      <c r="Y87" s="7">
        <v>20</v>
      </c>
      <c r="Z87" s="7">
        <v>30</v>
      </c>
      <c r="AA87" s="7">
        <v>40</v>
      </c>
      <c r="AB87" s="7">
        <v>45</v>
      </c>
      <c r="AC87" s="7">
        <v>50</v>
      </c>
      <c r="AD87" s="7">
        <v>60</v>
      </c>
      <c r="AE87" s="7">
        <v>70</v>
      </c>
      <c r="AF87" s="7">
        <v>80</v>
      </c>
      <c r="AG87" s="7">
        <v>90</v>
      </c>
      <c r="AH87" t="s">
        <v>173</v>
      </c>
      <c r="AI87" s="22"/>
      <c r="AJ87" s="22"/>
      <c r="AK87" s="49"/>
      <c r="AM87" s="22"/>
      <c r="AN87" s="22"/>
      <c r="AO87" s="22"/>
      <c r="AP87" s="51"/>
      <c r="AR87" s="22"/>
      <c r="AS87" s="22"/>
      <c r="AW87" s="22"/>
      <c r="BA87" s="22"/>
      <c r="BE87" s="22"/>
      <c r="BI87" s="22"/>
      <c r="BM87" s="22"/>
      <c r="BN87" s="22"/>
      <c r="BO87" s="22"/>
      <c r="BP87" s="22"/>
      <c r="BQ87" s="22"/>
      <c r="BR87" s="22"/>
      <c r="BS87" s="22"/>
    </row>
    <row r="88" spans="1:71" x14ac:dyDescent="0.25">
      <c r="A88" s="36" t="s">
        <v>52</v>
      </c>
      <c r="B88" s="82">
        <v>0</v>
      </c>
      <c r="C88" s="39">
        <v>1.35</v>
      </c>
      <c r="D88" s="10">
        <f t="shared" si="1"/>
        <v>0</v>
      </c>
      <c r="E88" s="82"/>
      <c r="F88" s="82"/>
      <c r="G88" s="82"/>
      <c r="H88" s="82" t="s">
        <v>215</v>
      </c>
      <c r="I88" s="97" t="str" cm="1">
        <f t="array" ref="I88">IF(OR(F88="",G88=""),"",
 (INDEX(CHOOSE(MATCH($E$68,{0.4;0.3;0.2;0.1;0},0),$T$49:$AG$58,$T$62:$AG$71,$T$75:$AG$84,$T$88:$AG$97,$T$101:$AG$110),
   MATCH(G88,$S$62:$S$71,1),
   MATCH(F88,$T$61:$AG$61,1))
 *(INDEX($T$61:$AG$61,MATCH(F88,$T$61:$AG$61,1)+1)-F88)
 *(INDEX($S$62:$S$71,MATCH(G88,$S$62:$S$71,1)+1)-G88)
+
 INDEX(CHOOSE(MATCH($E$68,{0.4;0.3;0.2;0.1;0},0),$T$49:$AG$58,$T$62:$AG$71,$T$75:$AG$84,$T$88:$AG$97,$T$101:$AG$110),
   MATCH(G88,$S$62:$S$71,1)+1,
   MATCH(F88,$T$61:$AG$61,1))
 *(INDEX($T$61:$AG$61,MATCH(F88,$T$61:$AG$61,1)+1)-F88)
 *(G88-INDEX($S$62:$S$71,MATCH(G88,$S$62:$S$71,1)))
+
 INDEX(CHOOSE(MATCH($E$68,{0.4;0.3;0.2;0.1;0},0),$T$49:$AG$58,$T$62:$AG$71,$T$75:$AG$84,$T$88:$AG$97,$T$101:$AG$110),
   MATCH(G88,$S$62:$S$71,1),
   MATCH(F88,$T$61:$AG$61,1)+1)
 *(F88-INDEX($T$61:$AG$61,MATCH(F88,$T$61:$AG$61,1)))
 *(INDEX($S$62:$S$71,MATCH(G88,$S$62:$S$71,1)+1)-G88)
+
 INDEX(CHOOSE(MATCH($E$68,{0.4;0.3;0.2;0.1;0},0),$T$49:$AG$58,$T$62:$AG$71,$T$75:$AG$84,$T$88:$AG$97,$T$101:$AG$110),
   MATCH(G88,$S$62:$S$71,1)+1,
   MATCH(F88,$T$61:$AG$61,1)+1)
 *(F88-INDEX($T$61:$AG$61,MATCH(F88,$T$61:$AG$61,1)))
 *(G88-INDEX($S$62:$S$71,MATCH(G88,$S$62:$S$71,1))))
 /
 ((INDEX($T$61:$AG$61,MATCH(F88,$T$61:$AG$61,1)+1)-INDEX($T$61:$AG$61,MATCH(F88,$T$61:$AG$61,1)))
  *
 (INDEX($S$62:$S$71,MATCH(G88,$S$62:$S$71,1)+1)-INDEX($S$62:$S$71,MATCH(G88,$S$62:$S$71,1)))))</f>
        <v/>
      </c>
      <c r="K88" s="10">
        <f t="shared" ref="K88:K91" si="4">TRUNC(IFERROR(D88*I88,0),2)</f>
        <v>0</v>
      </c>
      <c r="L88" s="97" t="str" cm="1">
        <f t="array" ref="L88">IF(OR(F88="",G88=""),"",
IF((INDEX($T$61:$AG$61,MIN(MATCH(F88,$T$61:$AG$61,1)+1,31))-INDEX($T$61:$AG$61,MATCH(F88,$T$61:$AG$61,1)))*(INDEX($AH$62:$AH$71,MIN(MATCH(G88,$AH$62:$AH$71,-1)+1,10))-INDEX($AH$62:$AH$71,MATCH(G88,$AH$62:$AH$71,-1)))=0,
INDEX(CHOOSE(MATCH($E$68,{0.4;0.3;0.2;0.1;0},0),
        $T$49:$AG$58,$T$62:$AG$71,$T$75:$AG$84,$T$88:$AG$97,$T$101:$AG$110),
   MATCH(G88,$AH$62:$AH$71,-1),
   MATCH(F88,$T$61:$AG$61,1)),
(INDEX(CHOOSE(MATCH($E$68,{0.4;0.3;0.2;0.1;0},0),
        $T$49:$AG$58,$T$62:$AG$71,$T$75:$AG$84,$T$88:$AG$97,$T$101:$AG$110),
   MATCH(G88,$AH$62:$AH$71,-1),
   MATCH(F88,$T$61:$AG$61,1))
 *(INDEX($T$61:$AG$61,MIN(MATCH(F88,$T$61:$AG$61,1)+1,31))-F88)
 *(INDEX($AH$62:$AH$71,MIN(MATCH(G88,$AH$62:$AH$71,-1)+1,10))-G88)
+
 INDEX(CHOOSE(MATCH($E$68,{0.4;0.3;0.2;0.1;0},0),
        $T$49:$AG$58,$T$62:$AG$71,$T$75:$AG$84,$T$88:$AG$97,$T$101:$AG$110),
   MIN(MATCH(G88,$AH$62:$AH$71,-1)+1,10),
   MATCH(F88,$T$61:$AG$61,1))
 *(INDEX($T$61:$AG$61,MIN(MATCH(F88,$T$61:$AG$61,1)+1,31))-F88)
 *(G88-INDEX($AH$62:$AH$71,MATCH(G88,$AH$62:$AH$71,-1)))
+
 INDEX(CHOOSE(MATCH($E$68,{0.4;0.3;0.2;0.1;0},0),
        $T$49:$AG$58,$T$62:$AG$71,$T$75:$AG$84,$T$88:$AG$97,$T$101:$AG$110),
   MATCH(G88,$AH$62:$AH$71,-1),
   MIN(MATCH(F88,$T$61:$AG$61,1)+1,31))
 *(F88-INDEX($T$61:$AG$61,MATCH(F88,$T$61:$AG$61,1)))
 *(INDEX($AH$62:$AH$71,MIN(MATCH(G88,$AH$62:$AH$71,-1)+1,10))-G88)
+
 INDEX(CHOOSE(MATCH($E$68,{0.4;0.3;0.2;0.1;0},0),
        $T$49:$AG$58,$T$62:$AG$71,$T$75:$AG$84,$T$88:$AG$97,$T$101:$AG$110),
   MIN(MATCH(G88,$AH$62:$AH$71,-1)+1,10),
   MIN(MATCH(F88,$T$61:$AG$61,1)+1,31))
 *(F88-INDEX($T$61:$AG$61,MATCH(F88,$T$61:$AG$61,1)))
 *(G88-INDEX($AH$62:$AH$71,MATCH(G88,$AH$62:$AH$71,-1))))
 /
 ((INDEX($T$61:$AG$61,MIN(MATCH(F88,$T$61:$AG$61,1)+1,31))-INDEX($T$61:$AG$61,MATCH(F88,$T$61:$AG$61,1)))
  *
 (INDEX($AH$62:$AH$71,MIN(MATCH(G88,$AH$62:$AH$71,-1)+1,10))-INDEX($AH$62:$AH$71,MATCH(G88,$AH$62:$AH$71,-1))))))</f>
        <v/>
      </c>
      <c r="M88" s="10">
        <f t="shared" si="2"/>
        <v>0</v>
      </c>
      <c r="N88" s="10">
        <f t="shared" si="3"/>
        <v>0</v>
      </c>
      <c r="O88" s="22"/>
      <c r="P88" s="22"/>
      <c r="Q88" s="22"/>
      <c r="R88" s="22"/>
      <c r="S88" s="49">
        <v>0</v>
      </c>
      <c r="T88">
        <v>0.82</v>
      </c>
      <c r="U88">
        <v>0.91</v>
      </c>
      <c r="V88">
        <v>0.97</v>
      </c>
      <c r="W88">
        <v>1</v>
      </c>
      <c r="X88">
        <v>1</v>
      </c>
      <c r="Y88">
        <v>0.97</v>
      </c>
      <c r="Z88">
        <v>0.92</v>
      </c>
      <c r="AA88">
        <v>0.83</v>
      </c>
      <c r="AB88">
        <v>0.78</v>
      </c>
      <c r="AC88">
        <v>0.72</v>
      </c>
      <c r="AD88">
        <v>0.59</v>
      </c>
      <c r="AE88">
        <v>0.44</v>
      </c>
      <c r="AF88">
        <v>0.27</v>
      </c>
      <c r="AG88">
        <v>0.1</v>
      </c>
      <c r="AH88" s="51">
        <v>90</v>
      </c>
      <c r="AI88" s="22"/>
      <c r="AJ88" s="22"/>
      <c r="AK88" s="49"/>
      <c r="AM88" s="22"/>
      <c r="AN88" s="22"/>
      <c r="AO88" s="22"/>
      <c r="AP88" s="51"/>
      <c r="AR88" s="22"/>
      <c r="AS88" s="22"/>
      <c r="AW88" s="22"/>
      <c r="BA88" s="22"/>
      <c r="BE88" s="22"/>
      <c r="BI88" s="22"/>
      <c r="BM88" s="22"/>
      <c r="BN88" s="22"/>
      <c r="BO88" s="22"/>
      <c r="BP88" s="22"/>
      <c r="BQ88" s="22"/>
      <c r="BR88" s="22"/>
      <c r="BS88" s="22"/>
    </row>
    <row r="89" spans="1:71" x14ac:dyDescent="0.25">
      <c r="A89" s="36" t="s">
        <v>53</v>
      </c>
      <c r="B89" s="82">
        <v>0</v>
      </c>
      <c r="C89" s="39">
        <v>1.35</v>
      </c>
      <c r="D89" s="10">
        <f t="shared" si="1"/>
        <v>0</v>
      </c>
      <c r="E89" s="82"/>
      <c r="F89" s="82"/>
      <c r="G89" s="82"/>
      <c r="H89" s="82" t="s">
        <v>215</v>
      </c>
      <c r="I89" s="97" t="str" cm="1">
        <f t="array" ref="I89">IF(OR(F89="",G89=""),"",
 (INDEX(CHOOSE(MATCH($E$68,{0.4;0.3;0.2;0.1;0},0),$T$49:$AG$58,$T$62:$AG$71,$T$75:$AG$84,$T$88:$AG$97,$T$101:$AG$110),
   MATCH(G89,$S$62:$S$71,1),
   MATCH(F89,$T$61:$AG$61,1))
 *(INDEX($T$61:$AG$61,MATCH(F89,$T$61:$AG$61,1)+1)-F89)
 *(INDEX($S$62:$S$71,MATCH(G89,$S$62:$S$71,1)+1)-G89)
+
 INDEX(CHOOSE(MATCH($E$68,{0.4;0.3;0.2;0.1;0},0),$T$49:$AG$58,$T$62:$AG$71,$T$75:$AG$84,$T$88:$AG$97,$T$101:$AG$110),
   MATCH(G89,$S$62:$S$71,1)+1,
   MATCH(F89,$T$61:$AG$61,1))
 *(INDEX($T$61:$AG$61,MATCH(F89,$T$61:$AG$61,1)+1)-F89)
 *(G89-INDEX($S$62:$S$71,MATCH(G89,$S$62:$S$71,1)))
+
 INDEX(CHOOSE(MATCH($E$68,{0.4;0.3;0.2;0.1;0},0),$T$49:$AG$58,$T$62:$AG$71,$T$75:$AG$84,$T$88:$AG$97,$T$101:$AG$110),
   MATCH(G89,$S$62:$S$71,1),
   MATCH(F89,$T$61:$AG$61,1)+1)
 *(F89-INDEX($T$61:$AG$61,MATCH(F89,$T$61:$AG$61,1)))
 *(INDEX($S$62:$S$71,MATCH(G89,$S$62:$S$71,1)+1)-G89)
+
 INDEX(CHOOSE(MATCH($E$68,{0.4;0.3;0.2;0.1;0},0),$T$49:$AG$58,$T$62:$AG$71,$T$75:$AG$84,$T$88:$AG$97,$T$101:$AG$110),
   MATCH(G89,$S$62:$S$71,1)+1,
   MATCH(F89,$T$61:$AG$61,1)+1)
 *(F89-INDEX($T$61:$AG$61,MATCH(F89,$T$61:$AG$61,1)))
 *(G89-INDEX($S$62:$S$71,MATCH(G89,$S$62:$S$71,1))))
 /
 ((INDEX($T$61:$AG$61,MATCH(F89,$T$61:$AG$61,1)+1)-INDEX($T$61:$AG$61,MATCH(F89,$T$61:$AG$61,1)))
  *
 (INDEX($S$62:$S$71,MATCH(G89,$S$62:$S$71,1)+1)-INDEX($S$62:$S$71,MATCH(G89,$S$62:$S$71,1)))))</f>
        <v/>
      </c>
      <c r="K89" s="10">
        <f t="shared" si="4"/>
        <v>0</v>
      </c>
      <c r="L89" s="97" t="str" cm="1">
        <f t="array" ref="L89">IF(OR(F89="",G89=""),"",
IF((INDEX($T$61:$AG$61,MIN(MATCH(F89,$T$61:$AG$61,1)+1,31))-INDEX($T$61:$AG$61,MATCH(F89,$T$61:$AG$61,1)))*(INDEX($AH$62:$AH$71,MIN(MATCH(G89,$AH$62:$AH$71,-1)+1,10))-INDEX($AH$62:$AH$71,MATCH(G89,$AH$62:$AH$71,-1)))=0,
INDEX(CHOOSE(MATCH($E$68,{0.4;0.3;0.2;0.1;0},0),
        $T$49:$AG$58,$T$62:$AG$71,$T$75:$AG$84,$T$88:$AG$97,$T$101:$AG$110),
   MATCH(G89,$AH$62:$AH$71,-1),
   MATCH(F89,$T$61:$AG$61,1)),
(INDEX(CHOOSE(MATCH($E$68,{0.4;0.3;0.2;0.1;0},0),
        $T$49:$AG$58,$T$62:$AG$71,$T$75:$AG$84,$T$88:$AG$97,$T$101:$AG$110),
   MATCH(G89,$AH$62:$AH$71,-1),
   MATCH(F89,$T$61:$AG$61,1))
 *(INDEX($T$61:$AG$61,MIN(MATCH(F89,$T$61:$AG$61,1)+1,31))-F89)
 *(INDEX($AH$62:$AH$71,MIN(MATCH(G89,$AH$62:$AH$71,-1)+1,10))-G89)
+
 INDEX(CHOOSE(MATCH($E$68,{0.4;0.3;0.2;0.1;0},0),
        $T$49:$AG$58,$T$62:$AG$71,$T$75:$AG$84,$T$88:$AG$97,$T$101:$AG$110),
   MIN(MATCH(G89,$AH$62:$AH$71,-1)+1,10),
   MATCH(F89,$T$61:$AG$61,1))
 *(INDEX($T$61:$AG$61,MIN(MATCH(F89,$T$61:$AG$61,1)+1,31))-F89)
 *(G89-INDEX($AH$62:$AH$71,MATCH(G89,$AH$62:$AH$71,-1)))
+
 INDEX(CHOOSE(MATCH($E$68,{0.4;0.3;0.2;0.1;0},0),
        $T$49:$AG$58,$T$62:$AG$71,$T$75:$AG$84,$T$88:$AG$97,$T$101:$AG$110),
   MATCH(G89,$AH$62:$AH$71,-1),
   MIN(MATCH(F89,$T$61:$AG$61,1)+1,31))
 *(F89-INDEX($T$61:$AG$61,MATCH(F89,$T$61:$AG$61,1)))
 *(INDEX($AH$62:$AH$71,MIN(MATCH(G89,$AH$62:$AH$71,-1)+1,10))-G89)
+
 INDEX(CHOOSE(MATCH($E$68,{0.4;0.3;0.2;0.1;0},0),
        $T$49:$AG$58,$T$62:$AG$71,$T$75:$AG$84,$T$88:$AG$97,$T$101:$AG$110),
   MIN(MATCH(G89,$AH$62:$AH$71,-1)+1,10),
   MIN(MATCH(F89,$T$61:$AG$61,1)+1,31))
 *(F89-INDEX($T$61:$AG$61,MATCH(F89,$T$61:$AG$61,1)))
 *(G89-INDEX($AH$62:$AH$71,MATCH(G89,$AH$62:$AH$71,-1))))
 /
 ((INDEX($T$61:$AG$61,MIN(MATCH(F89,$T$61:$AG$61,1)+1,31))-INDEX($T$61:$AG$61,MATCH(F89,$T$61:$AG$61,1)))
  *
 (INDEX($AH$62:$AH$71,MIN(MATCH(G89,$AH$62:$AH$71,-1)+1,10))-INDEX($AH$62:$AH$71,MATCH(G89,$AH$62:$AH$71,-1))))))</f>
        <v/>
      </c>
      <c r="M89" s="10">
        <f t="shared" si="2"/>
        <v>0</v>
      </c>
      <c r="N89" s="10">
        <f t="shared" si="3"/>
        <v>0</v>
      </c>
      <c r="O89" s="22"/>
      <c r="P89" s="22"/>
      <c r="Q89" s="22"/>
      <c r="R89" s="22"/>
      <c r="S89" s="49">
        <v>10</v>
      </c>
      <c r="T89">
        <v>0.8</v>
      </c>
      <c r="U89">
        <v>0.89</v>
      </c>
      <c r="V89">
        <v>0.95</v>
      </c>
      <c r="W89">
        <v>0.98</v>
      </c>
      <c r="X89">
        <v>0.99</v>
      </c>
      <c r="Y89">
        <v>0.96</v>
      </c>
      <c r="Z89">
        <v>0.9</v>
      </c>
      <c r="AA89">
        <v>0.82</v>
      </c>
      <c r="AB89">
        <v>0.77</v>
      </c>
      <c r="AC89">
        <v>0.71</v>
      </c>
      <c r="AD89">
        <v>0.57999999999999996</v>
      </c>
      <c r="AE89">
        <v>0.43</v>
      </c>
      <c r="AF89">
        <v>0.27</v>
      </c>
      <c r="AG89">
        <v>0.1</v>
      </c>
      <c r="AH89" s="51">
        <v>80</v>
      </c>
      <c r="AI89" s="22"/>
      <c r="AJ89" s="22"/>
      <c r="AK89" s="49"/>
      <c r="AM89" s="22"/>
      <c r="AN89" s="22"/>
      <c r="AO89" s="22"/>
      <c r="AP89" s="51"/>
      <c r="AR89" s="22"/>
      <c r="AS89" s="22"/>
      <c r="AW89" s="22"/>
      <c r="BA89" s="22"/>
      <c r="BE89" s="22"/>
      <c r="BI89" s="22"/>
      <c r="BM89" s="22"/>
      <c r="BN89" s="22"/>
      <c r="BO89" s="22"/>
      <c r="BP89" s="22"/>
      <c r="BQ89" s="22"/>
      <c r="BR89" s="22"/>
      <c r="BS89" s="22"/>
    </row>
    <row r="90" spans="1:71" x14ac:dyDescent="0.25">
      <c r="A90" s="36" t="s">
        <v>54</v>
      </c>
      <c r="B90" s="82">
        <v>0</v>
      </c>
      <c r="C90" s="39">
        <v>1.35</v>
      </c>
      <c r="D90" s="10">
        <f t="shared" si="1"/>
        <v>0</v>
      </c>
      <c r="E90" s="82"/>
      <c r="F90" s="82"/>
      <c r="G90" s="82"/>
      <c r="H90" s="82" t="s">
        <v>215</v>
      </c>
      <c r="I90" s="97" t="str" cm="1">
        <f t="array" ref="I90">IF(OR(F90="",G90=""),"",
 (INDEX(CHOOSE(MATCH($E$68,{0.4;0.3;0.2;0.1;0},0),$T$49:$AG$58,$T$62:$AG$71,$T$75:$AG$84,$T$88:$AG$97,$T$101:$AG$110),
   MATCH(G90,$S$62:$S$71,1),
   MATCH(F90,$T$61:$AG$61,1))
 *(INDEX($T$61:$AG$61,MATCH(F90,$T$61:$AG$61,1)+1)-F90)
 *(INDEX($S$62:$S$71,MATCH(G90,$S$62:$S$71,1)+1)-G90)
+
 INDEX(CHOOSE(MATCH($E$68,{0.4;0.3;0.2;0.1;0},0),$T$49:$AG$58,$T$62:$AG$71,$T$75:$AG$84,$T$88:$AG$97,$T$101:$AG$110),
   MATCH(G90,$S$62:$S$71,1)+1,
   MATCH(F90,$T$61:$AG$61,1))
 *(INDEX($T$61:$AG$61,MATCH(F90,$T$61:$AG$61,1)+1)-F90)
 *(G90-INDEX($S$62:$S$71,MATCH(G90,$S$62:$S$71,1)))
+
 INDEX(CHOOSE(MATCH($E$68,{0.4;0.3;0.2;0.1;0},0),$T$49:$AG$58,$T$62:$AG$71,$T$75:$AG$84,$T$88:$AG$97,$T$101:$AG$110),
   MATCH(G90,$S$62:$S$71,1),
   MATCH(F90,$T$61:$AG$61,1)+1)
 *(F90-INDEX($T$61:$AG$61,MATCH(F90,$T$61:$AG$61,1)))
 *(INDEX($S$62:$S$71,MATCH(G90,$S$62:$S$71,1)+1)-G90)
+
 INDEX(CHOOSE(MATCH($E$68,{0.4;0.3;0.2;0.1;0},0),$T$49:$AG$58,$T$62:$AG$71,$T$75:$AG$84,$T$88:$AG$97,$T$101:$AG$110),
   MATCH(G90,$S$62:$S$71,1)+1,
   MATCH(F90,$T$61:$AG$61,1)+1)
 *(F90-INDEX($T$61:$AG$61,MATCH(F90,$T$61:$AG$61,1)))
 *(G90-INDEX($S$62:$S$71,MATCH(G90,$S$62:$S$71,1))))
 /
 ((INDEX($T$61:$AG$61,MATCH(F90,$T$61:$AG$61,1)+1)-INDEX($T$61:$AG$61,MATCH(F90,$T$61:$AG$61,1)))
  *
 (INDEX($S$62:$S$71,MATCH(G90,$S$62:$S$71,1)+1)-INDEX($S$62:$S$71,MATCH(G90,$S$62:$S$71,1)))))</f>
        <v/>
      </c>
      <c r="K90" s="10">
        <f t="shared" si="4"/>
        <v>0</v>
      </c>
      <c r="L90" s="97" t="str" cm="1">
        <f t="array" ref="L90">IF(OR(F90="",G90=""),"",
IF((INDEX($T$61:$AG$61,MIN(MATCH(F90,$T$61:$AG$61,1)+1,31))-INDEX($T$61:$AG$61,MATCH(F90,$T$61:$AG$61,1)))*(INDEX($AH$62:$AH$71,MIN(MATCH(G90,$AH$62:$AH$71,-1)+1,10))-INDEX($AH$62:$AH$71,MATCH(G90,$AH$62:$AH$71,-1)))=0,
INDEX(CHOOSE(MATCH($E$68,{0.4;0.3;0.2;0.1;0},0),
        $T$49:$AG$58,$T$62:$AG$71,$T$75:$AG$84,$T$88:$AG$97,$T$101:$AG$110),
   MATCH(G90,$AH$62:$AH$71,-1),
   MATCH(F90,$T$61:$AG$61,1)),
(INDEX(CHOOSE(MATCH($E$68,{0.4;0.3;0.2;0.1;0},0),
        $T$49:$AG$58,$T$62:$AG$71,$T$75:$AG$84,$T$88:$AG$97,$T$101:$AG$110),
   MATCH(G90,$AH$62:$AH$71,-1),
   MATCH(F90,$T$61:$AG$61,1))
 *(INDEX($T$61:$AG$61,MIN(MATCH(F90,$T$61:$AG$61,1)+1,31))-F90)
 *(INDEX($AH$62:$AH$71,MIN(MATCH(G90,$AH$62:$AH$71,-1)+1,10))-G90)
+
 INDEX(CHOOSE(MATCH($E$68,{0.4;0.3;0.2;0.1;0},0),
        $T$49:$AG$58,$T$62:$AG$71,$T$75:$AG$84,$T$88:$AG$97,$T$101:$AG$110),
   MIN(MATCH(G90,$AH$62:$AH$71,-1)+1,10),
   MATCH(F90,$T$61:$AG$61,1))
 *(INDEX($T$61:$AG$61,MIN(MATCH(F90,$T$61:$AG$61,1)+1,31))-F90)
 *(G90-INDEX($AH$62:$AH$71,MATCH(G90,$AH$62:$AH$71,-1)))
+
 INDEX(CHOOSE(MATCH($E$68,{0.4;0.3;0.2;0.1;0},0),
        $T$49:$AG$58,$T$62:$AG$71,$T$75:$AG$84,$T$88:$AG$97,$T$101:$AG$110),
   MATCH(G90,$AH$62:$AH$71,-1),
   MIN(MATCH(F90,$T$61:$AG$61,1)+1,31))
 *(F90-INDEX($T$61:$AG$61,MATCH(F90,$T$61:$AG$61,1)))
 *(INDEX($AH$62:$AH$71,MIN(MATCH(G90,$AH$62:$AH$71,-1)+1,10))-G90)
+
 INDEX(CHOOSE(MATCH($E$68,{0.4;0.3;0.2;0.1;0},0),
        $T$49:$AG$58,$T$62:$AG$71,$T$75:$AG$84,$T$88:$AG$97,$T$101:$AG$110),
   MIN(MATCH(G90,$AH$62:$AH$71,-1)+1,10),
   MIN(MATCH(F90,$T$61:$AG$61,1)+1,31))
 *(F90-INDEX($T$61:$AG$61,MATCH(F90,$T$61:$AG$61,1)))
 *(G90-INDEX($AH$62:$AH$71,MATCH(G90,$AH$62:$AH$71,-1))))
 /
 ((INDEX($T$61:$AG$61,MIN(MATCH(F90,$T$61:$AG$61,1)+1,31))-INDEX($T$61:$AG$61,MATCH(F90,$T$61:$AG$61,1)))
  *
 (INDEX($AH$62:$AH$71,MIN(MATCH(G90,$AH$62:$AH$71,-1)+1,10))-INDEX($AH$62:$AH$71,MATCH(G90,$AH$62:$AH$71,-1))))))</f>
        <v/>
      </c>
      <c r="M90" s="10">
        <f t="shared" si="2"/>
        <v>0</v>
      </c>
      <c r="N90" s="10">
        <f t="shared" si="3"/>
        <v>0</v>
      </c>
      <c r="O90" s="22"/>
      <c r="P90" s="22"/>
      <c r="Q90" s="22"/>
      <c r="R90" s="22"/>
      <c r="S90" s="49">
        <v>20</v>
      </c>
      <c r="T90">
        <v>0.76</v>
      </c>
      <c r="U90">
        <v>0.85</v>
      </c>
      <c r="V90">
        <v>0.91</v>
      </c>
      <c r="W90">
        <v>0.94</v>
      </c>
      <c r="X90">
        <v>0.94</v>
      </c>
      <c r="Y90">
        <v>0.92</v>
      </c>
      <c r="Z90">
        <v>0.86</v>
      </c>
      <c r="AA90">
        <v>0.78</v>
      </c>
      <c r="AB90">
        <v>0.74</v>
      </c>
      <c r="AC90">
        <v>0.68</v>
      </c>
      <c r="AD90">
        <v>0.56000000000000005</v>
      </c>
      <c r="AE90">
        <v>0.42</v>
      </c>
      <c r="AF90">
        <v>0.26</v>
      </c>
      <c r="AG90">
        <v>0.1</v>
      </c>
      <c r="AH90" s="51">
        <v>70</v>
      </c>
      <c r="AI90" s="22"/>
      <c r="AJ90" s="22"/>
      <c r="AK90" s="49"/>
      <c r="AM90" s="22"/>
      <c r="AN90" s="22"/>
      <c r="AO90" s="22"/>
      <c r="AP90" s="51"/>
      <c r="AR90" s="22"/>
      <c r="AS90" s="22"/>
      <c r="AW90" s="22"/>
      <c r="BA90" s="22"/>
      <c r="BE90" s="22"/>
      <c r="BI90" s="22"/>
      <c r="BM90" s="22"/>
      <c r="BN90" s="22"/>
      <c r="BO90" s="22"/>
      <c r="BP90" s="22"/>
      <c r="BQ90" s="22"/>
      <c r="BR90" s="22"/>
      <c r="BS90" s="22"/>
    </row>
    <row r="91" spans="1:71" x14ac:dyDescent="0.25">
      <c r="A91" s="36" t="s">
        <v>55</v>
      </c>
      <c r="B91" s="82">
        <v>0</v>
      </c>
      <c r="C91" s="39">
        <v>1.35</v>
      </c>
      <c r="D91" s="10">
        <f t="shared" si="1"/>
        <v>0</v>
      </c>
      <c r="E91" s="82"/>
      <c r="F91" s="82"/>
      <c r="G91" s="82"/>
      <c r="H91" s="82" t="s">
        <v>215</v>
      </c>
      <c r="I91" s="97" t="str" cm="1">
        <f t="array" ref="I91">IF(OR(F91="",G91=""),"",
 (INDEX(CHOOSE(MATCH($E$68,{0.4;0.3;0.2;0.1;0},0),$T$49:$AG$58,$T$62:$AG$71,$T$75:$AG$84,$T$88:$AG$97,$T$101:$AG$110),
   MATCH(G91,$S$62:$S$71,1),
   MATCH(F91,$T$61:$AG$61,1))
 *(INDEX($T$61:$AG$61,MATCH(F91,$T$61:$AG$61,1)+1)-F91)
 *(INDEX($S$62:$S$71,MATCH(G91,$S$62:$S$71,1)+1)-G91)
+
 INDEX(CHOOSE(MATCH($E$68,{0.4;0.3;0.2;0.1;0},0),$T$49:$AG$58,$T$62:$AG$71,$T$75:$AG$84,$T$88:$AG$97,$T$101:$AG$110),
   MATCH(G91,$S$62:$S$71,1)+1,
   MATCH(F91,$T$61:$AG$61,1))
 *(INDEX($T$61:$AG$61,MATCH(F91,$T$61:$AG$61,1)+1)-F91)
 *(G91-INDEX($S$62:$S$71,MATCH(G91,$S$62:$S$71,1)))
+
 INDEX(CHOOSE(MATCH($E$68,{0.4;0.3;0.2;0.1;0},0),$T$49:$AG$58,$T$62:$AG$71,$T$75:$AG$84,$T$88:$AG$97,$T$101:$AG$110),
   MATCH(G91,$S$62:$S$71,1),
   MATCH(F91,$T$61:$AG$61,1)+1)
 *(F91-INDEX($T$61:$AG$61,MATCH(F91,$T$61:$AG$61,1)))
 *(INDEX($S$62:$S$71,MATCH(G91,$S$62:$S$71,1)+1)-G91)
+
 INDEX(CHOOSE(MATCH($E$68,{0.4;0.3;0.2;0.1;0},0),$T$49:$AG$58,$T$62:$AG$71,$T$75:$AG$84,$T$88:$AG$97,$T$101:$AG$110),
   MATCH(G91,$S$62:$S$71,1)+1,
   MATCH(F91,$T$61:$AG$61,1)+1)
 *(F91-INDEX($T$61:$AG$61,MATCH(F91,$T$61:$AG$61,1)))
 *(G91-INDEX($S$62:$S$71,MATCH(G91,$S$62:$S$71,1))))
 /
 ((INDEX($T$61:$AG$61,MATCH(F91,$T$61:$AG$61,1)+1)-INDEX($T$61:$AG$61,MATCH(F91,$T$61:$AG$61,1)))
  *
 (INDEX($S$62:$S$71,MATCH(G91,$S$62:$S$71,1)+1)-INDEX($S$62:$S$71,MATCH(G91,$S$62:$S$71,1)))))</f>
        <v/>
      </c>
      <c r="K91" s="10">
        <f t="shared" si="4"/>
        <v>0</v>
      </c>
      <c r="L91" s="97" t="str" cm="1">
        <f t="array" ref="L91">IF(OR(F91="",G91=""),"",
IF((INDEX($T$61:$AG$61,MIN(MATCH(F91,$T$61:$AG$61,1)+1,31))-INDEX($T$61:$AG$61,MATCH(F91,$T$61:$AG$61,1)))*(INDEX($AH$62:$AH$71,MIN(MATCH(G91,$AH$62:$AH$71,-1)+1,10))-INDEX($AH$62:$AH$71,MATCH(G91,$AH$62:$AH$71,-1)))=0,
INDEX(CHOOSE(MATCH($E$68,{0.4;0.3;0.2;0.1;0},0),
        $T$49:$AG$58,$T$62:$AG$71,$T$75:$AG$84,$T$88:$AG$97,$T$101:$AG$110),
   MATCH(G91,$AH$62:$AH$71,-1),
   MATCH(F91,$T$61:$AG$61,1)),
(INDEX(CHOOSE(MATCH($E$68,{0.4;0.3;0.2;0.1;0},0),
        $T$49:$AG$58,$T$62:$AG$71,$T$75:$AG$84,$T$88:$AG$97,$T$101:$AG$110),
   MATCH(G91,$AH$62:$AH$71,-1),
   MATCH(F91,$T$61:$AG$61,1))
 *(INDEX($T$61:$AG$61,MIN(MATCH(F91,$T$61:$AG$61,1)+1,31))-F91)
 *(INDEX($AH$62:$AH$71,MIN(MATCH(G91,$AH$62:$AH$71,-1)+1,10))-G91)
+
 INDEX(CHOOSE(MATCH($E$68,{0.4;0.3;0.2;0.1;0},0),
        $T$49:$AG$58,$T$62:$AG$71,$T$75:$AG$84,$T$88:$AG$97,$T$101:$AG$110),
   MIN(MATCH(G91,$AH$62:$AH$71,-1)+1,10),
   MATCH(F91,$T$61:$AG$61,1))
 *(INDEX($T$61:$AG$61,MIN(MATCH(F91,$T$61:$AG$61,1)+1,31))-F91)
 *(G91-INDEX($AH$62:$AH$71,MATCH(G91,$AH$62:$AH$71,-1)))
+
 INDEX(CHOOSE(MATCH($E$68,{0.4;0.3;0.2;0.1;0},0),
        $T$49:$AG$58,$T$62:$AG$71,$T$75:$AG$84,$T$88:$AG$97,$T$101:$AG$110),
   MATCH(G91,$AH$62:$AH$71,-1),
   MIN(MATCH(F91,$T$61:$AG$61,1)+1,31))
 *(F91-INDEX($T$61:$AG$61,MATCH(F91,$T$61:$AG$61,1)))
 *(INDEX($AH$62:$AH$71,MIN(MATCH(G91,$AH$62:$AH$71,-1)+1,10))-G91)
+
 INDEX(CHOOSE(MATCH($E$68,{0.4;0.3;0.2;0.1;0},0),
        $T$49:$AG$58,$T$62:$AG$71,$T$75:$AG$84,$T$88:$AG$97,$T$101:$AG$110),
   MIN(MATCH(G91,$AH$62:$AH$71,-1)+1,10),
   MIN(MATCH(F91,$T$61:$AG$61,1)+1,31))
 *(F91-INDEX($T$61:$AG$61,MATCH(F91,$T$61:$AG$61,1)))
 *(G91-INDEX($AH$62:$AH$71,MATCH(G91,$AH$62:$AH$71,-1))))
 /
 ((INDEX($T$61:$AG$61,MIN(MATCH(F91,$T$61:$AG$61,1)+1,31))-INDEX($T$61:$AG$61,MATCH(F91,$T$61:$AG$61,1)))
  *
 (INDEX($AH$62:$AH$71,MIN(MATCH(G91,$AH$62:$AH$71,-1)+1,10))-INDEX($AH$62:$AH$71,MATCH(G91,$AH$62:$AH$71,-1))))))</f>
        <v/>
      </c>
      <c r="M91" s="10">
        <f t="shared" si="2"/>
        <v>0</v>
      </c>
      <c r="N91" s="10">
        <f t="shared" si="3"/>
        <v>0</v>
      </c>
      <c r="O91" s="22"/>
      <c r="P91" s="22"/>
      <c r="Q91" s="22"/>
      <c r="R91" s="22"/>
      <c r="S91" s="49">
        <v>30</v>
      </c>
      <c r="T91">
        <v>0.7</v>
      </c>
      <c r="U91">
        <v>0.78</v>
      </c>
      <c r="V91">
        <v>0.84</v>
      </c>
      <c r="W91">
        <v>0.87</v>
      </c>
      <c r="X91">
        <v>0.87</v>
      </c>
      <c r="Y91">
        <v>0.85</v>
      </c>
      <c r="Z91">
        <v>0.8</v>
      </c>
      <c r="AA91">
        <v>0.73</v>
      </c>
      <c r="AB91">
        <v>0.68</v>
      </c>
      <c r="AC91">
        <v>0.63</v>
      </c>
      <c r="AD91">
        <v>0.52</v>
      </c>
      <c r="AE91">
        <v>0.39</v>
      </c>
      <c r="AF91">
        <v>0.25</v>
      </c>
      <c r="AG91">
        <v>0.1</v>
      </c>
      <c r="AH91" s="51">
        <v>60</v>
      </c>
      <c r="AI91" s="22"/>
      <c r="AJ91" s="22"/>
      <c r="AK91" s="49"/>
      <c r="AM91" s="22"/>
      <c r="AN91" s="22"/>
      <c r="AO91" s="22"/>
      <c r="AP91" s="51"/>
      <c r="AR91" s="22"/>
      <c r="AS91" s="22"/>
      <c r="AW91" s="22"/>
      <c r="BA91" s="22"/>
      <c r="BE91" s="22"/>
      <c r="BI91" s="22"/>
      <c r="BM91" s="22"/>
      <c r="BN91" s="22"/>
      <c r="BO91" s="22"/>
      <c r="BP91" s="22"/>
      <c r="BQ91" s="22"/>
      <c r="BR91" s="22"/>
      <c r="BS91" s="22"/>
    </row>
    <row r="92" spans="1:71" x14ac:dyDescent="0.25">
      <c r="A92" s="22"/>
      <c r="B92" s="84" t="s">
        <v>226</v>
      </c>
      <c r="C92" s="22" t="s">
        <v>216</v>
      </c>
      <c r="D92" s="22"/>
      <c r="E92" s="30" t="s">
        <v>226</v>
      </c>
      <c r="F92" s="30" t="s">
        <v>226</v>
      </c>
      <c r="G92" s="30" t="s">
        <v>226</v>
      </c>
      <c r="H92" s="85" t="s">
        <v>226</v>
      </c>
      <c r="I92" s="70" t="s">
        <v>95</v>
      </c>
      <c r="J92" s="6" t="s">
        <v>40</v>
      </c>
      <c r="K92" s="98">
        <f>K86+K87+K88+K89+K90+K91</f>
        <v>0</v>
      </c>
      <c r="L92" s="74"/>
      <c r="M92" s="71" t="s">
        <v>93</v>
      </c>
      <c r="N92" s="99">
        <f>N86+N87+N88+N89+N90+N91</f>
        <v>0</v>
      </c>
      <c r="O92" s="22"/>
      <c r="P92" s="22"/>
      <c r="Q92" s="22"/>
      <c r="R92" s="22"/>
      <c r="S92" s="49">
        <v>40</v>
      </c>
      <c r="T92">
        <v>0.61</v>
      </c>
      <c r="U92">
        <v>0.69</v>
      </c>
      <c r="V92">
        <v>0.74</v>
      </c>
      <c r="W92">
        <v>0.77</v>
      </c>
      <c r="X92">
        <v>0.77</v>
      </c>
      <c r="Y92">
        <v>0.75</v>
      </c>
      <c r="Z92">
        <v>0.71</v>
      </c>
      <c r="AA92">
        <v>0.65</v>
      </c>
      <c r="AB92">
        <v>0.61</v>
      </c>
      <c r="AC92">
        <v>0.56999999999999995</v>
      </c>
      <c r="AD92">
        <v>0.47</v>
      </c>
      <c r="AE92">
        <v>0.36</v>
      </c>
      <c r="AF92">
        <v>0.23</v>
      </c>
      <c r="AG92">
        <v>0.1</v>
      </c>
      <c r="AH92" s="51">
        <v>50</v>
      </c>
      <c r="AI92" s="22"/>
      <c r="AJ92" s="22"/>
      <c r="AK92" s="49"/>
      <c r="AM92" s="22"/>
      <c r="AN92" s="22"/>
      <c r="AO92" s="22"/>
      <c r="AP92" s="51"/>
      <c r="AR92" s="22"/>
      <c r="AS92" s="22"/>
      <c r="AW92" s="22"/>
      <c r="BA92" s="22"/>
      <c r="BE92" s="22"/>
      <c r="BI92" s="22"/>
      <c r="BM92" s="22"/>
      <c r="BN92" s="22"/>
      <c r="BO92" s="22"/>
      <c r="BP92" s="22"/>
      <c r="BQ92" s="22"/>
      <c r="BR92" s="22"/>
      <c r="BS92" s="22"/>
    </row>
    <row r="93" spans="1:71" x14ac:dyDescent="0.25">
      <c r="A93" s="36" t="s">
        <v>56</v>
      </c>
      <c r="B93" s="133">
        <v>0</v>
      </c>
      <c r="C93" s="39">
        <v>1.35</v>
      </c>
      <c r="D93" s="10">
        <f>TRUNC(B93/C93,2)</f>
        <v>0</v>
      </c>
      <c r="E93" s="82"/>
      <c r="F93" s="82"/>
      <c r="G93" s="82"/>
      <c r="H93" s="133" t="s">
        <v>215</v>
      </c>
      <c r="I93" s="97" t="str" cm="1">
        <f t="array" ref="I93">IF(OR(F93="",G93=""),"",
(INDEX(CHOOSE(MATCH($E$68,{0.4;0.3;0.2;0.1;0},0),$T$49:$AG$58,$T$62:$AG$71,$T$75:$AG$84,$T$88:$AG$97,$T$101:$AG$110),
MATCH(G93,$S$62:$S$71,1),
MATCH(F93,$T$61:$AG$61,1))
*(INDEX($T$61:$AG$61,MATCH(F93,$T$61:$AG$61,1)+1)-F93)
*(INDEX($S$62:$S$71,MATCH(G93,$S$62:$S$71,1)+1)-G93)
+
INDEX(CHOOSE(MATCH($E$68,{0.4;0.3;0.2;0.1;0},0),$T$49:$AG$58,$T$62:$AG$71,$T$75:$AG$84,$T$88:$AG$97,$T$101:$AG$110),
MATCH(G93,$S$62:$S$71,1)+1,
MATCH(F93,$T$61:$AG$61,1))
*(INDEX($T$61:$AG$61,MATCH(F93,$T$61:$AG$61,1)+1)-F93)
*(G93-INDEX($S$62:$S$71,MATCH(G93,$S$62:$S$71,1)))
+
INDEX(CHOOSE(MATCH($E$68,{0.4;0.3;0.2;0.1;0},0),$T$49:$AG$58,$T$62:$AG$71,$T$75:$AG$84,$T$88:$AG$97,$T$101:$AG$110),
MATCH(G93,$S$62:$S$71,1),
MATCH(F93,$T$61:$AG$61,1)+1)
*(F93-INDEX($T$61:$AG$61,MATCH(F93,$T$61:$AG$61,1)))
*(INDEX($S$62:$S$71,MATCH(G93,$S$62:$S$71,1)+1)-G93)
+
INDEX(CHOOSE(MATCH($E$68,{0.4;0.3;0.2;0.1;0},0),$T$49:$AG$58,$T$62:$AG$71,$T$75:$AG$84,$T$88:$AG$97,$T$101:$AG$110),
MATCH(G93,$S$62:$S$71,1)+1,
MATCH(F93,$T$61:$AG$61,1)+1)
*(F93-INDEX($T$61:$AG$61,MATCH(F93,$T$61:$AG$61,1)))
*(G93-INDEX($S$62:$S$71,MATCH(G93,$S$62:$S$71,1))))
/
((INDEX($T$61:$AG$61,MATCH(F93,$T$61:$AG$61,1)+1)-INDEX($T$61:$AG$61,MATCH(F93,$T$61:$AG$61,1)))
*
(INDEX($S$62:$S$71,MATCH(G93,$S$62:$S$71,1)+1)-INDEX($S$62:$S$71,MATCH(G93,$S$62:$S$71,1)))))</f>
        <v/>
      </c>
      <c r="K93" s="10">
        <f>TRUNC(IFERROR(D93*I93,0),2)</f>
        <v>0</v>
      </c>
      <c r="L93" s="97" t="str" cm="1">
        <f t="array" ref="L93">IF(OR(F93="",G93=""),"",
IF((INDEX($T$61:$AG$61,MIN(MATCH(F93,$T$61:$AG$61,1)+1,31))-INDEX($T$61:$AG$61,MATCH(F93,$T$61:$AG$61,1)))*(INDEX($AH$62:$AH$71,MIN(MATCH(G93,$AH$62:$AH$71,-1)+1,10))-INDEX($AH$62:$AH$71,MATCH(G93,$AH$62:$AH$71,-1)))=0,
INDEX(CHOOSE(MATCH($E$68,{0.4;0.3;0.2;0.1;0},0),
        $T$49:$AG$58,$T$62:$AG$71,$T$75:$AG$84,$T$88:$AG$97,$T$101:$AG$110),
   MATCH(G93,$AH$62:$AH$71,-1),
   MATCH(F93,$T$61:$AG$61,1)),
(INDEX(CHOOSE(MATCH($E$68,{0.4;0.3;0.2;0.1;0},0),
        $T$49:$AG$58,$T$62:$AG$71,$T$75:$AG$84,$T$88:$AG$97,$T$101:$AG$110),
   MATCH(G93,$AH$62:$AH$71,-1),
   MATCH(F93,$T$61:$AG$61,1))
 *(INDEX($T$61:$AG$61,MIN(MATCH(F93,$T$61:$AG$61,1)+1,31))-F93)
 *(INDEX($AH$62:$AH$71,MIN(MATCH(G93,$AH$62:$AH$71,-1)+1,10))-G93)
+
 INDEX(CHOOSE(MATCH($E$68,{0.4;0.3;0.2;0.1;0},0),
        $T$49:$AG$58,$T$62:$AG$71,$T$75:$AG$84,$T$88:$AG$97,$T$101:$AG$110),
   MIN(MATCH(G93,$AH$62:$AH$71,-1)+1,10),
   MATCH(F93,$T$61:$AG$61,1))
 *(INDEX($T$61:$AG$61,MIN(MATCH(F93,$T$61:$AG$61,1)+1,31))-F93)
 *(G93-INDEX($AH$62:$AH$71,MATCH(G93,$AH$62:$AH$71,-1)))
+
 INDEX(CHOOSE(MATCH($E$68,{0.4;0.3;0.2;0.1;0},0),
        $T$49:$AG$58,$T$62:$AG$71,$T$75:$AG$84,$T$88:$AG$97,$T$101:$AG$110),
   MATCH(G93,$AH$62:$AH$71,-1),
   MIN(MATCH(F93,$T$61:$AG$61,1)+1,31))
 *(F93-INDEX($T$61:$AG$61,MATCH(F93,$T$61:$AG$61,1)))
 *(INDEX($AH$62:$AH$71,MIN(MATCH(G93,$AH$62:$AH$71,-1)+1,10))-G93)
+
 INDEX(CHOOSE(MATCH($E$68,{0.4;0.3;0.2;0.1;0},0),
        $T$49:$AG$58,$T$62:$AG$71,$T$75:$AG$84,$T$88:$AG$97,$T$101:$AG$110),
   MIN(MATCH(G93,$AH$62:$AH$71,-1)+1,10),
   MIN(MATCH(F93,$T$61:$AG$61,1)+1,31))
 *(F93-INDEX($T$61:$AG$61,MATCH(F93,$T$61:$AG$61,1)))
 *(G93-INDEX($AH$62:$AH$71,MATCH(G93,$AH$62:$AH$71,-1))))
 /
 ((INDEX($T$61:$AG$61,MIN(MATCH(F93,$T$61:$AG$61,1)+1,31))-INDEX($T$61:$AG$61,MATCH(F93,$T$61:$AG$61,1)))
  *
 (INDEX($AH$62:$AH$71,MIN(MATCH(G93,$AH$62:$AH$71,-1)+1,10))-INDEX($AH$62:$AH$71,MATCH(G93,$AH$62:$AH$71,-1))))))</f>
        <v/>
      </c>
      <c r="M93" s="10">
        <f>TRUNC(IFERROR(D93*L93,0),2)</f>
        <v>0</v>
      </c>
      <c r="N93" s="10">
        <f>TRUNC(D93*E93,2)</f>
        <v>0</v>
      </c>
      <c r="O93" s="22"/>
      <c r="P93" s="22"/>
      <c r="Q93" s="22"/>
      <c r="R93" s="22"/>
      <c r="S93" s="49">
        <v>50</v>
      </c>
      <c r="T93">
        <v>0.51</v>
      </c>
      <c r="U93">
        <v>0.56999999999999995</v>
      </c>
      <c r="V93">
        <v>0.62</v>
      </c>
      <c r="W93">
        <v>0.64</v>
      </c>
      <c r="X93">
        <v>0.65</v>
      </c>
      <c r="Y93">
        <v>0.64</v>
      </c>
      <c r="Z93">
        <v>0.61</v>
      </c>
      <c r="AA93">
        <v>0.56000000000000005</v>
      </c>
      <c r="AB93">
        <v>0.53</v>
      </c>
      <c r="AC93">
        <v>0.49</v>
      </c>
      <c r="AD93">
        <v>0.41</v>
      </c>
      <c r="AE93">
        <v>0.31</v>
      </c>
      <c r="AF93">
        <v>0.21</v>
      </c>
      <c r="AG93">
        <v>0.1</v>
      </c>
      <c r="AH93" s="51">
        <v>40</v>
      </c>
      <c r="AI93" s="22"/>
      <c r="AJ93" s="22"/>
      <c r="AK93" s="49"/>
      <c r="AM93" s="22"/>
      <c r="AN93" s="22"/>
      <c r="AO93" s="22"/>
      <c r="AP93" s="51"/>
      <c r="AR93" s="22"/>
      <c r="AS93" s="22"/>
      <c r="AW93" s="22"/>
      <c r="BA93" s="22"/>
      <c r="BE93" s="22"/>
      <c r="BI93" s="22"/>
      <c r="BM93" s="22"/>
      <c r="BN93" s="22"/>
      <c r="BO93" s="22"/>
      <c r="BP93" s="22"/>
      <c r="BQ93" s="22"/>
      <c r="BR93" s="22"/>
      <c r="BS93" s="22"/>
    </row>
    <row r="94" spans="1:71" x14ac:dyDescent="0.25">
      <c r="A94" s="36" t="s">
        <v>57</v>
      </c>
      <c r="B94" s="133">
        <v>0</v>
      </c>
      <c r="C94" s="39">
        <v>1.35</v>
      </c>
      <c r="D94" s="10">
        <f t="shared" ref="D94:D98" si="5">TRUNC(B94/C94,2)</f>
        <v>0</v>
      </c>
      <c r="E94" s="82"/>
      <c r="F94" s="82"/>
      <c r="G94" s="82"/>
      <c r="H94" s="133" t="s">
        <v>215</v>
      </c>
      <c r="I94" s="97" t="str" cm="1">
        <f t="array" ref="I94">IF(OR(F94="",G94=""),"",
(INDEX(CHOOSE(MATCH($E$68,{0.4;0.3;0.2;0.1;0},0),$T$49:$AG$58,$T$62:$AG$71,$T$75:$AG$84,$T$88:$AG$97,$T$101:$AG$110),
MATCH(G94,$S$62:$S$71,1),
MATCH(F94,$T$61:$AG$61,1))
*(INDEX($T$61:$AG$61,MATCH(F94,$T$61:$AG$61,1)+1)-F94)
*(INDEX($S$62:$S$71,MATCH(G94,$S$62:$S$71,1)+1)-G94)
+
INDEX(CHOOSE(MATCH($E$68,{0.4;0.3;0.2;0.1;0},0),$T$49:$AG$58,$T$62:$AG$71,$T$75:$AG$84,$T$88:$AG$97,$T$101:$AG$110),
MATCH(G94,$S$62:$S$71,1)+1,
MATCH(F94,$T$61:$AG$61,1))
*(INDEX($T$61:$AG$61,MATCH(F94,$T$61:$AG$61,1)+1)-F94)
*(G94-INDEX($S$62:$S$71,MATCH(G94,$S$62:$S$71,1)))
+
INDEX(CHOOSE(MATCH($E$68,{0.4;0.3;0.2;0.1;0},0),$T$49:$AG$58,$T$62:$AG$71,$T$75:$AG$84,$T$88:$AG$97,$T$101:$AG$110),
MATCH(G94,$S$62:$S$71,1),
MATCH(F94,$T$61:$AG$61,1)+1)
*(F94-INDEX($T$61:$AG$61,MATCH(F94,$T$61:$AG$61,1)))
*(INDEX($S$62:$S$71,MATCH(G94,$S$62:$S$71,1)+1)-G94)
+
INDEX(CHOOSE(MATCH($E$68,{0.4;0.3;0.2;0.1;0},0),$T$49:$AG$58,$T$62:$AG$71,$T$75:$AG$84,$T$88:$AG$97,$T$101:$AG$110),
MATCH(G94,$S$62:$S$71,1)+1,
MATCH(F94,$T$61:$AG$61,1)+1)
*(F94-INDEX($T$61:$AG$61,MATCH(F94,$T$61:$AG$61,1)))
*(G94-INDEX($S$62:$S$71,MATCH(G94,$S$62:$S$71,1))))
/
((INDEX($T$61:$AG$61,MATCH(F94,$T$61:$AG$61,1)+1)-INDEX($T$61:$AG$61,MATCH(F94,$T$61:$AG$61,1)))
*
(INDEX($S$62:$S$71,MATCH(G94,$S$62:$S$71,1)+1)-INDEX($S$62:$S$71,MATCH(G94,$S$62:$S$71,1)))))</f>
        <v/>
      </c>
      <c r="K94" s="10">
        <f t="shared" ref="K94:K98" si="6">TRUNC(IFERROR(D94*I94,0),2)</f>
        <v>0</v>
      </c>
      <c r="L94" s="97" t="str" cm="1">
        <f t="array" ref="L94">IF(OR(F94="",G94=""),"",
IF((INDEX($T$61:$AG$61,MIN(MATCH(F94,$T$61:$AG$61,1)+1,31))-INDEX($T$61:$AG$61,MATCH(F94,$T$61:$AG$61,1)))*(INDEX($AH$62:$AH$71,MIN(MATCH(G94,$AH$62:$AH$71,-1)+1,10))-INDEX($AH$62:$AH$71,MATCH(G94,$AH$62:$AH$71,-1)))=0,
INDEX(CHOOSE(MATCH($E$68,{0.4;0.3;0.2;0.1;0},0),
        $T$49:$AG$58,$T$62:$AG$71,$T$75:$AG$84,$T$88:$AG$97,$T$101:$AG$110),
   MATCH(G94,$AH$62:$AH$71,-1),
   MATCH(F94,$T$61:$AG$61,1)),
(INDEX(CHOOSE(MATCH($E$68,{0.4;0.3;0.2;0.1;0},0),
        $T$49:$AG$58,$T$62:$AG$71,$T$75:$AG$84,$T$88:$AG$97,$T$101:$AG$110),
   MATCH(G94,$AH$62:$AH$71,-1),
   MATCH(F94,$T$61:$AG$61,1))
 *(INDEX($T$61:$AG$61,MIN(MATCH(F94,$T$61:$AG$61,1)+1,31))-F94)
 *(INDEX($AH$62:$AH$71,MIN(MATCH(G94,$AH$62:$AH$71,-1)+1,10))-G94)
+
 INDEX(CHOOSE(MATCH($E$68,{0.4;0.3;0.2;0.1;0},0),
        $T$49:$AG$58,$T$62:$AG$71,$T$75:$AG$84,$T$88:$AG$97,$T$101:$AG$110),
   MIN(MATCH(G94,$AH$62:$AH$71,-1)+1,10),
   MATCH(F94,$T$61:$AG$61,1))
 *(INDEX($T$61:$AG$61,MIN(MATCH(F94,$T$61:$AG$61,1)+1,31))-F94)
 *(G94-INDEX($AH$62:$AH$71,MATCH(G94,$AH$62:$AH$71,-1)))
+
 INDEX(CHOOSE(MATCH($E$68,{0.4;0.3;0.2;0.1;0},0),
        $T$49:$AG$58,$T$62:$AG$71,$T$75:$AG$84,$T$88:$AG$97,$T$101:$AG$110),
   MATCH(G94,$AH$62:$AH$71,-1),
   MIN(MATCH(F94,$T$61:$AG$61,1)+1,31))
 *(F94-INDEX($T$61:$AG$61,MATCH(F94,$T$61:$AG$61,1)))
 *(INDEX($AH$62:$AH$71,MIN(MATCH(G94,$AH$62:$AH$71,-1)+1,10))-G94)
+
 INDEX(CHOOSE(MATCH($E$68,{0.4;0.3;0.2;0.1;0},0),
        $T$49:$AG$58,$T$62:$AG$71,$T$75:$AG$84,$T$88:$AG$97,$T$101:$AG$110),
   MIN(MATCH(G94,$AH$62:$AH$71,-1)+1,10),
   MIN(MATCH(F94,$T$61:$AG$61,1)+1,31))
 *(F94-INDEX($T$61:$AG$61,MATCH(F94,$T$61:$AG$61,1)))
 *(G94-INDEX($AH$62:$AH$71,MATCH(G94,$AH$62:$AH$71,-1))))
 /
 ((INDEX($T$61:$AG$61,MIN(MATCH(F94,$T$61:$AG$61,1)+1,31))-INDEX($T$61:$AG$61,MATCH(F94,$T$61:$AG$61,1)))
  *
 (INDEX($AH$62:$AH$71,MIN(MATCH(G94,$AH$62:$AH$71,-1)+1,10))-INDEX($AH$62:$AH$71,MATCH(G94,$AH$62:$AH$71,-1))))))</f>
        <v/>
      </c>
      <c r="M94" s="10">
        <f t="shared" ref="M94:M98" si="7">TRUNC(IFERROR(D94*L94,0),2)</f>
        <v>0</v>
      </c>
      <c r="N94" s="10">
        <f t="shared" ref="N94:N98" si="8">TRUNC(D94*E94,2)</f>
        <v>0</v>
      </c>
      <c r="O94" s="22"/>
      <c r="P94" s="22"/>
      <c r="Q94" s="22"/>
      <c r="R94" s="22"/>
      <c r="S94" s="49">
        <v>60</v>
      </c>
      <c r="T94">
        <v>0.38</v>
      </c>
      <c r="U94">
        <v>0.44</v>
      </c>
      <c r="V94">
        <v>0.48</v>
      </c>
      <c r="W94">
        <v>0.5</v>
      </c>
      <c r="X94">
        <v>0.51</v>
      </c>
      <c r="Y94">
        <v>0.5</v>
      </c>
      <c r="Z94">
        <v>0.48</v>
      </c>
      <c r="AA94">
        <v>0.45</v>
      </c>
      <c r="AB94">
        <v>0.42</v>
      </c>
      <c r="AC94">
        <v>0.4</v>
      </c>
      <c r="AD94">
        <v>0.34</v>
      </c>
      <c r="AE94">
        <v>0.26</v>
      </c>
      <c r="AF94">
        <v>0.19</v>
      </c>
      <c r="AG94">
        <v>0.1</v>
      </c>
      <c r="AH94" s="51">
        <v>30</v>
      </c>
      <c r="AI94" s="22"/>
      <c r="AJ94" s="22"/>
      <c r="AK94" s="49"/>
      <c r="AM94" s="22"/>
      <c r="AN94" s="22"/>
      <c r="AO94" s="22"/>
      <c r="AP94" s="51"/>
      <c r="AR94" s="22"/>
      <c r="AS94" s="22"/>
      <c r="AW94" s="22"/>
      <c r="BA94" s="22"/>
      <c r="BE94" s="22"/>
      <c r="BI94" s="22"/>
      <c r="BM94" s="22"/>
      <c r="BN94" s="22"/>
      <c r="BO94" s="22"/>
      <c r="BP94" s="22"/>
      <c r="BQ94" s="22"/>
      <c r="BR94" s="22"/>
      <c r="BS94" s="22"/>
    </row>
    <row r="95" spans="1:71" x14ac:dyDescent="0.25">
      <c r="A95" s="36" t="s">
        <v>58</v>
      </c>
      <c r="B95" s="133">
        <v>0</v>
      </c>
      <c r="C95" s="39">
        <v>1.35</v>
      </c>
      <c r="D95" s="10">
        <f t="shared" si="5"/>
        <v>0</v>
      </c>
      <c r="E95" s="82"/>
      <c r="F95" s="82"/>
      <c r="G95" s="82"/>
      <c r="H95" s="133" t="s">
        <v>215</v>
      </c>
      <c r="I95" s="97" t="str" cm="1">
        <f t="array" ref="I95">IF(OR(F95="",G95=""),"",
(INDEX(CHOOSE(MATCH($E$68,{0.4;0.3;0.2;0.1;0},0),$T$49:$AG$58,$T$62:$AG$71,$T$75:$AG$84,$T$88:$AG$97,$T$101:$AG$110),
MATCH(G95,$S$62:$S$71,1),
MATCH(F95,$T$61:$AG$61,1))
*(INDEX($T$61:$AG$61,MATCH(F95,$T$61:$AG$61,1)+1)-F95)
*(INDEX($S$62:$S$71,MATCH(G95,$S$62:$S$71,1)+1)-G95)
+
INDEX(CHOOSE(MATCH($E$68,{0.4;0.3;0.2;0.1;0},0),$T$49:$AG$58,$T$62:$AG$71,$T$75:$AG$84,$T$88:$AG$97,$T$101:$AG$110),
MATCH(G95,$S$62:$S$71,1)+1,
MATCH(F95,$T$61:$AG$61,1))
*(INDEX($T$61:$AG$61,MATCH(F95,$T$61:$AG$61,1)+1)-F95)
*(G95-INDEX($S$62:$S$71,MATCH(G95,$S$62:$S$71,1)))
+
INDEX(CHOOSE(MATCH($E$68,{0.4;0.3;0.2;0.1;0},0),$T$49:$AG$58,$T$62:$AG$71,$T$75:$AG$84,$T$88:$AG$97,$T$101:$AG$110),
MATCH(G95,$S$62:$S$71,1),
MATCH(F95,$T$61:$AG$61,1)+1)
*(F95-INDEX($T$61:$AG$61,MATCH(F95,$T$61:$AG$61,1)))
*(INDEX($S$62:$S$71,MATCH(G95,$S$62:$S$71,1)+1)-G95)
+
INDEX(CHOOSE(MATCH($E$68,{0.4;0.3;0.2;0.1;0},0),$T$49:$AG$58,$T$62:$AG$71,$T$75:$AG$84,$T$88:$AG$97,$T$101:$AG$110),
MATCH(G95,$S$62:$S$71,1)+1,
MATCH(F95,$T$61:$AG$61,1)+1)
*(F95-INDEX($T$61:$AG$61,MATCH(F95,$T$61:$AG$61,1)))
*(G95-INDEX($S$62:$S$71,MATCH(G95,$S$62:$S$71,1))))
/
((INDEX($T$61:$AG$61,MATCH(F95,$T$61:$AG$61,1)+1)-INDEX($T$61:$AG$61,MATCH(F95,$T$61:$AG$61,1)))
*
(INDEX($S$62:$S$71,MATCH(G95,$S$62:$S$71,1)+1)-INDEX($S$62:$S$71,MATCH(G95,$S$62:$S$71,1)))))</f>
        <v/>
      </c>
      <c r="K95" s="10">
        <f t="shared" si="6"/>
        <v>0</v>
      </c>
      <c r="L95" s="97" t="str" cm="1">
        <f t="array" ref="L95">IF(OR(F95="",G95=""),"",
IF((INDEX($T$61:$AG$61,MIN(MATCH(F95,$T$61:$AG$61,1)+1,31))-INDEX($T$61:$AG$61,MATCH(F95,$T$61:$AG$61,1)))*(INDEX($AH$62:$AH$71,MIN(MATCH(G95,$AH$62:$AH$71,-1)+1,10))-INDEX($AH$62:$AH$71,MATCH(G95,$AH$62:$AH$71,-1)))=0,
INDEX(CHOOSE(MATCH($E$68,{0.4;0.3;0.2;0.1;0},0),
        $T$49:$AG$58,$T$62:$AG$71,$T$75:$AG$84,$T$88:$AG$97,$T$101:$AG$110),
   MATCH(G95,$AH$62:$AH$71,-1),
   MATCH(F95,$T$61:$AG$61,1)),
(INDEX(CHOOSE(MATCH($E$68,{0.4;0.3;0.2;0.1;0},0),
        $T$49:$AG$58,$T$62:$AG$71,$T$75:$AG$84,$T$88:$AG$97,$T$101:$AG$110),
   MATCH(G95,$AH$62:$AH$71,-1),
   MATCH(F95,$T$61:$AG$61,1))
 *(INDEX($T$61:$AG$61,MIN(MATCH(F95,$T$61:$AG$61,1)+1,31))-F95)
 *(INDEX($AH$62:$AH$71,MIN(MATCH(G95,$AH$62:$AH$71,-1)+1,10))-G95)
+
 INDEX(CHOOSE(MATCH($E$68,{0.4;0.3;0.2;0.1;0},0),
        $T$49:$AG$58,$T$62:$AG$71,$T$75:$AG$84,$T$88:$AG$97,$T$101:$AG$110),
   MIN(MATCH(G95,$AH$62:$AH$71,-1)+1,10),
   MATCH(F95,$T$61:$AG$61,1))
 *(INDEX($T$61:$AG$61,MIN(MATCH(F95,$T$61:$AG$61,1)+1,31))-F95)
 *(G95-INDEX($AH$62:$AH$71,MATCH(G95,$AH$62:$AH$71,-1)))
+
 INDEX(CHOOSE(MATCH($E$68,{0.4;0.3;0.2;0.1;0},0),
        $T$49:$AG$58,$T$62:$AG$71,$T$75:$AG$84,$T$88:$AG$97,$T$101:$AG$110),
   MATCH(G95,$AH$62:$AH$71,-1),
   MIN(MATCH(F95,$T$61:$AG$61,1)+1,31))
 *(F95-INDEX($T$61:$AG$61,MATCH(F95,$T$61:$AG$61,1)))
 *(INDEX($AH$62:$AH$71,MIN(MATCH(G95,$AH$62:$AH$71,-1)+1,10))-G95)
+
 INDEX(CHOOSE(MATCH($E$68,{0.4;0.3;0.2;0.1;0},0),
        $T$49:$AG$58,$T$62:$AG$71,$T$75:$AG$84,$T$88:$AG$97,$T$101:$AG$110),
   MIN(MATCH(G95,$AH$62:$AH$71,-1)+1,10),
   MIN(MATCH(F95,$T$61:$AG$61,1)+1,31))
 *(F95-INDEX($T$61:$AG$61,MATCH(F95,$T$61:$AG$61,1)))
 *(G95-INDEX($AH$62:$AH$71,MATCH(G95,$AH$62:$AH$71,-1))))
 /
 ((INDEX($T$61:$AG$61,MIN(MATCH(F95,$T$61:$AG$61,1)+1,31))-INDEX($T$61:$AG$61,MATCH(F95,$T$61:$AG$61,1)))
  *
 (INDEX($AH$62:$AH$71,MIN(MATCH(G95,$AH$62:$AH$71,-1)+1,10))-INDEX($AH$62:$AH$71,MATCH(G95,$AH$62:$AH$71,-1))))))</f>
        <v/>
      </c>
      <c r="M95" s="10">
        <f t="shared" si="7"/>
        <v>0</v>
      </c>
      <c r="N95" s="10">
        <f t="shared" si="8"/>
        <v>0</v>
      </c>
      <c r="O95" s="22"/>
      <c r="P95" s="22"/>
      <c r="Q95" s="22"/>
      <c r="R95" s="22"/>
      <c r="S95" s="49">
        <v>70</v>
      </c>
      <c r="T95">
        <v>0.25</v>
      </c>
      <c r="U95">
        <v>0.28999999999999998</v>
      </c>
      <c r="V95">
        <v>0.32</v>
      </c>
      <c r="W95">
        <v>0.34</v>
      </c>
      <c r="X95">
        <v>0.35</v>
      </c>
      <c r="Y95">
        <v>0.36</v>
      </c>
      <c r="Z95">
        <v>0.35</v>
      </c>
      <c r="AA95">
        <v>0.33</v>
      </c>
      <c r="AB95">
        <v>0.31</v>
      </c>
      <c r="AC95">
        <v>0.3</v>
      </c>
      <c r="AD95">
        <v>0.26</v>
      </c>
      <c r="AE95">
        <v>0.21</v>
      </c>
      <c r="AF95">
        <v>0.16</v>
      </c>
      <c r="AG95">
        <v>0.1</v>
      </c>
      <c r="AH95" s="51">
        <v>20</v>
      </c>
      <c r="AI95" s="22"/>
      <c r="AJ95" s="22"/>
      <c r="AK95" s="49"/>
      <c r="AM95" s="22"/>
      <c r="AN95" s="22"/>
      <c r="AO95" s="22"/>
      <c r="AP95" s="51"/>
      <c r="AR95" s="22"/>
      <c r="AS95" s="22"/>
      <c r="AW95" s="22"/>
      <c r="BA95" s="22"/>
      <c r="BE95" s="22"/>
      <c r="BI95" s="22"/>
      <c r="BM95" s="22"/>
      <c r="BN95" s="22"/>
      <c r="BO95" s="22"/>
      <c r="BP95" s="22"/>
      <c r="BQ95" s="22"/>
      <c r="BR95" s="22"/>
      <c r="BS95" s="22"/>
    </row>
    <row r="96" spans="1:71" x14ac:dyDescent="0.25">
      <c r="A96" s="36" t="s">
        <v>59</v>
      </c>
      <c r="B96" s="133">
        <v>0</v>
      </c>
      <c r="C96" s="39">
        <v>1.35</v>
      </c>
      <c r="D96" s="10">
        <f t="shared" si="5"/>
        <v>0</v>
      </c>
      <c r="E96" s="82"/>
      <c r="F96" s="82"/>
      <c r="G96" s="82"/>
      <c r="H96" s="133" t="s">
        <v>215</v>
      </c>
      <c r="I96" s="97" t="str" cm="1">
        <f t="array" ref="I96">IF(OR(F96="",G96=""),"",
(INDEX(CHOOSE(MATCH($E$68,{0.4;0.3;0.2;0.1;0},0),$T$49:$AG$58,$T$62:$AG$71,$T$75:$AG$84,$T$88:$AG$97,$T$101:$AG$110),
MATCH(G96,$S$62:$S$71,1),
MATCH(F96,$T$61:$AG$61,1))
*(INDEX($T$61:$AG$61,MATCH(F96,$T$61:$AG$61,1)+1)-F96)
*(INDEX($S$62:$S$71,MATCH(G96,$S$62:$S$71,1)+1)-G96)
+
INDEX(CHOOSE(MATCH($E$68,{0.4;0.3;0.2;0.1;0},0),$T$49:$AG$58,$T$62:$AG$71,$T$75:$AG$84,$T$88:$AG$97,$T$101:$AG$110),
MATCH(G96,$S$62:$S$71,1)+1,
MATCH(F96,$T$61:$AG$61,1))
*(INDEX($T$61:$AG$61,MATCH(F96,$T$61:$AG$61,1)+1)-F96)
*(G96-INDEX($S$62:$S$71,MATCH(G96,$S$62:$S$71,1)))
+
INDEX(CHOOSE(MATCH($E$68,{0.4;0.3;0.2;0.1;0},0),$T$49:$AG$58,$T$62:$AG$71,$T$75:$AG$84,$T$88:$AG$97,$T$101:$AG$110),
MATCH(G96,$S$62:$S$71,1),
MATCH(F96,$T$61:$AG$61,1)+1)
*(F96-INDEX($T$61:$AG$61,MATCH(F96,$T$61:$AG$61,1)))
*(INDEX($S$62:$S$71,MATCH(G96,$S$62:$S$71,1)+1)-G96)
+
INDEX(CHOOSE(MATCH($E$68,{0.4;0.3;0.2;0.1;0},0),$T$49:$AG$58,$T$62:$AG$71,$T$75:$AG$84,$T$88:$AG$97,$T$101:$AG$110),
MATCH(G96,$S$62:$S$71,1)+1,
MATCH(F96,$T$61:$AG$61,1)+1)
*(F96-INDEX($T$61:$AG$61,MATCH(F96,$T$61:$AG$61,1)))
*(G96-INDEX($S$62:$S$71,MATCH(G96,$S$62:$S$71,1))))
/
((INDEX($T$61:$AG$61,MATCH(F96,$T$61:$AG$61,1)+1)-INDEX($T$61:$AG$61,MATCH(F96,$T$61:$AG$61,1)))
*
(INDEX($S$62:$S$71,MATCH(G96,$S$62:$S$71,1)+1)-INDEX($S$62:$S$71,MATCH(G96,$S$62:$S$71,1)))))</f>
        <v/>
      </c>
      <c r="K96" s="10">
        <f t="shared" si="6"/>
        <v>0</v>
      </c>
      <c r="L96" s="97" t="str" cm="1">
        <f t="array" ref="L96">IF(OR(F96="",G96=""),"",
IF((INDEX($T$61:$AG$61,MIN(MATCH(F96,$T$61:$AG$61,1)+1,31))-INDEX($T$61:$AG$61,MATCH(F96,$T$61:$AG$61,1)))*(INDEX($AH$62:$AH$71,MIN(MATCH(G96,$AH$62:$AH$71,-1)+1,10))-INDEX($AH$62:$AH$71,MATCH(G96,$AH$62:$AH$71,-1)))=0,
INDEX(CHOOSE(MATCH($E$68,{0.4;0.3;0.2;0.1;0},0),
        $T$49:$AG$58,$T$62:$AG$71,$T$75:$AG$84,$T$88:$AG$97,$T$101:$AG$110),
   MATCH(G96,$AH$62:$AH$71,-1),
   MATCH(F96,$T$61:$AG$61,1)),
(INDEX(CHOOSE(MATCH($E$68,{0.4;0.3;0.2;0.1;0},0),
        $T$49:$AG$58,$T$62:$AG$71,$T$75:$AG$84,$T$88:$AG$97,$T$101:$AG$110),
   MATCH(G96,$AH$62:$AH$71,-1),
   MATCH(F96,$T$61:$AG$61,1))
 *(INDEX($T$61:$AG$61,MIN(MATCH(F96,$T$61:$AG$61,1)+1,31))-F96)
 *(INDEX($AH$62:$AH$71,MIN(MATCH(G96,$AH$62:$AH$71,-1)+1,10))-G96)
+
 INDEX(CHOOSE(MATCH($E$68,{0.4;0.3;0.2;0.1;0},0),
        $T$49:$AG$58,$T$62:$AG$71,$T$75:$AG$84,$T$88:$AG$97,$T$101:$AG$110),
   MIN(MATCH(G96,$AH$62:$AH$71,-1)+1,10),
   MATCH(F96,$T$61:$AG$61,1))
 *(INDEX($T$61:$AG$61,MIN(MATCH(F96,$T$61:$AG$61,1)+1,31))-F96)
 *(G96-INDEX($AH$62:$AH$71,MATCH(G96,$AH$62:$AH$71,-1)))
+
 INDEX(CHOOSE(MATCH($E$68,{0.4;0.3;0.2;0.1;0},0),
        $T$49:$AG$58,$T$62:$AG$71,$T$75:$AG$84,$T$88:$AG$97,$T$101:$AG$110),
   MATCH(G96,$AH$62:$AH$71,-1),
   MIN(MATCH(F96,$T$61:$AG$61,1)+1,31))
 *(F96-INDEX($T$61:$AG$61,MATCH(F96,$T$61:$AG$61,1)))
 *(INDEX($AH$62:$AH$71,MIN(MATCH(G96,$AH$62:$AH$71,-1)+1,10))-G96)
+
 INDEX(CHOOSE(MATCH($E$68,{0.4;0.3;0.2;0.1;0},0),
        $T$49:$AG$58,$T$62:$AG$71,$T$75:$AG$84,$T$88:$AG$97,$T$101:$AG$110),
   MIN(MATCH(G96,$AH$62:$AH$71,-1)+1,10),
   MIN(MATCH(F96,$T$61:$AG$61,1)+1,31))
 *(F96-INDEX($T$61:$AG$61,MATCH(F96,$T$61:$AG$61,1)))
 *(G96-INDEX($AH$62:$AH$71,MATCH(G96,$AH$62:$AH$71,-1))))
 /
 ((INDEX($T$61:$AG$61,MIN(MATCH(F96,$T$61:$AG$61,1)+1,31))-INDEX($T$61:$AG$61,MATCH(F96,$T$61:$AG$61,1)))
  *
 (INDEX($AH$62:$AH$71,MIN(MATCH(G96,$AH$62:$AH$71,-1)+1,10))-INDEX($AH$62:$AH$71,MATCH(G96,$AH$62:$AH$71,-1))))))</f>
        <v/>
      </c>
      <c r="M96" s="10">
        <f t="shared" si="7"/>
        <v>0</v>
      </c>
      <c r="N96" s="10">
        <f t="shared" si="8"/>
        <v>0</v>
      </c>
      <c r="O96" s="22"/>
      <c r="P96" s="22"/>
      <c r="Q96" s="22"/>
      <c r="R96" s="22"/>
      <c r="S96" s="49">
        <v>80</v>
      </c>
      <c r="T96">
        <v>0.1</v>
      </c>
      <c r="U96">
        <v>0.13</v>
      </c>
      <c r="V96">
        <v>0.15</v>
      </c>
      <c r="W96">
        <v>0.17</v>
      </c>
      <c r="X96">
        <v>0.19</v>
      </c>
      <c r="Y96">
        <v>0.2</v>
      </c>
      <c r="Z96">
        <v>0.2</v>
      </c>
      <c r="AA96">
        <v>0.2</v>
      </c>
      <c r="AB96">
        <v>0.19</v>
      </c>
      <c r="AC96">
        <v>0.19</v>
      </c>
      <c r="AD96">
        <v>0.17</v>
      </c>
      <c r="AE96">
        <v>0.15</v>
      </c>
      <c r="AF96">
        <v>0.13</v>
      </c>
      <c r="AG96">
        <v>0.1</v>
      </c>
      <c r="AH96" s="51">
        <v>10</v>
      </c>
      <c r="AI96" s="22"/>
      <c r="AJ96" s="22"/>
      <c r="AK96" s="49"/>
      <c r="AM96" s="22"/>
      <c r="AN96" s="22"/>
      <c r="AO96" s="22"/>
      <c r="AP96" s="51"/>
      <c r="AR96" s="22"/>
      <c r="AS96" s="22"/>
      <c r="AW96" s="22"/>
      <c r="BA96" s="22"/>
      <c r="BE96" s="22"/>
      <c r="BI96" s="22"/>
      <c r="BM96" s="22"/>
      <c r="BN96" s="22"/>
      <c r="BO96" s="22"/>
      <c r="BP96" s="22"/>
      <c r="BQ96" s="22"/>
      <c r="BR96" s="22"/>
      <c r="BS96" s="22"/>
    </row>
    <row r="97" spans="1:71" x14ac:dyDescent="0.25">
      <c r="A97" s="36" t="s">
        <v>60</v>
      </c>
      <c r="B97" s="133">
        <v>0</v>
      </c>
      <c r="C97" s="39">
        <v>1.35</v>
      </c>
      <c r="D97" s="10">
        <f t="shared" si="5"/>
        <v>0</v>
      </c>
      <c r="E97" s="82"/>
      <c r="F97" s="82"/>
      <c r="G97" s="82"/>
      <c r="H97" s="133" t="s">
        <v>215</v>
      </c>
      <c r="I97" s="97" t="str" cm="1">
        <f t="array" ref="I97">IF(OR(F97="",G97=""),"",
(INDEX(CHOOSE(MATCH($E$68,{0.4;0.3;0.2;0.1;0},0),$T$49:$AG$58,$T$62:$AG$71,$T$75:$AG$84,$T$88:$AG$97,$T$101:$AG$110),
MATCH(G97,$S$62:$S$71,1),
MATCH(F97,$T$61:$AG$61,1))
*(INDEX($T$61:$AG$61,MATCH(F97,$T$61:$AG$61,1)+1)-F97)
*(INDEX($S$62:$S$71,MATCH(G97,$S$62:$S$71,1)+1)-G97)
+
INDEX(CHOOSE(MATCH($E$68,{0.4;0.3;0.2;0.1;0},0),$T$49:$AG$58,$T$62:$AG$71,$T$75:$AG$84,$T$88:$AG$97,$T$101:$AG$110),
MATCH(G97,$S$62:$S$71,1)+1,
MATCH(F97,$T$61:$AG$61,1))
*(INDEX($T$61:$AG$61,MATCH(F97,$T$61:$AG$61,1)+1)-F97)
*(G97-INDEX($S$62:$S$71,MATCH(G97,$S$62:$S$71,1)))
+
INDEX(CHOOSE(MATCH($E$68,{0.4;0.3;0.2;0.1;0},0),$T$49:$AG$58,$T$62:$AG$71,$T$75:$AG$84,$T$88:$AG$97,$T$101:$AG$110),
MATCH(G97,$S$62:$S$71,1),
MATCH(F97,$T$61:$AG$61,1)+1)
*(F97-INDEX($T$61:$AG$61,MATCH(F97,$T$61:$AG$61,1)))
*(INDEX($S$62:$S$71,MATCH(G97,$S$62:$S$71,1)+1)-G97)
+
INDEX(CHOOSE(MATCH($E$68,{0.4;0.3;0.2;0.1;0},0),$T$49:$AG$58,$T$62:$AG$71,$T$75:$AG$84,$T$88:$AG$97,$T$101:$AG$110),
MATCH(G97,$S$62:$S$71,1)+1,
MATCH(F97,$T$61:$AG$61,1)+1)
*(F97-INDEX($T$61:$AG$61,MATCH(F97,$T$61:$AG$61,1)))
*(G97-INDEX($S$62:$S$71,MATCH(G97,$S$62:$S$71,1))))
/
((INDEX($T$61:$AG$61,MATCH(F97,$T$61:$AG$61,1)+1)-INDEX($T$61:$AG$61,MATCH(F97,$T$61:$AG$61,1)))
*
(INDEX($S$62:$S$71,MATCH(G97,$S$62:$S$71,1)+1)-INDEX($S$62:$S$71,MATCH(G97,$S$62:$S$71,1)))))</f>
        <v/>
      </c>
      <c r="K97" s="10">
        <f t="shared" si="6"/>
        <v>0</v>
      </c>
      <c r="L97" s="97" t="str" cm="1">
        <f t="array" ref="L97">IF(OR(F97="",G97=""),"",
IF((INDEX($T$61:$AG$61,MIN(MATCH(F97,$T$61:$AG$61,1)+1,31))-INDEX($T$61:$AG$61,MATCH(F97,$T$61:$AG$61,1)))*(INDEX($AH$62:$AH$71,MIN(MATCH(G97,$AH$62:$AH$71,-1)+1,10))-INDEX($AH$62:$AH$71,MATCH(G97,$AH$62:$AH$71,-1)))=0,
INDEX(CHOOSE(MATCH($E$68,{0.4;0.3;0.2;0.1;0},0),
        $T$49:$AG$58,$T$62:$AG$71,$T$75:$AG$84,$T$88:$AG$97,$T$101:$AG$110),
   MATCH(G97,$AH$62:$AH$71,-1),
   MATCH(F97,$T$61:$AG$61,1)),
(INDEX(CHOOSE(MATCH($E$68,{0.4;0.3;0.2;0.1;0},0),
        $T$49:$AG$58,$T$62:$AG$71,$T$75:$AG$84,$T$88:$AG$97,$T$101:$AG$110),
   MATCH(G97,$AH$62:$AH$71,-1),
   MATCH(F97,$T$61:$AG$61,1))
 *(INDEX($T$61:$AG$61,MIN(MATCH(F97,$T$61:$AG$61,1)+1,31))-F97)
 *(INDEX($AH$62:$AH$71,MIN(MATCH(G97,$AH$62:$AH$71,-1)+1,10))-G97)
+
 INDEX(CHOOSE(MATCH($E$68,{0.4;0.3;0.2;0.1;0},0),
        $T$49:$AG$58,$T$62:$AG$71,$T$75:$AG$84,$T$88:$AG$97,$T$101:$AG$110),
   MIN(MATCH(G97,$AH$62:$AH$71,-1)+1,10),
   MATCH(F97,$T$61:$AG$61,1))
 *(INDEX($T$61:$AG$61,MIN(MATCH(F97,$T$61:$AG$61,1)+1,31))-F97)
 *(G97-INDEX($AH$62:$AH$71,MATCH(G97,$AH$62:$AH$71,-1)))
+
 INDEX(CHOOSE(MATCH($E$68,{0.4;0.3;0.2;0.1;0},0),
        $T$49:$AG$58,$T$62:$AG$71,$T$75:$AG$84,$T$88:$AG$97,$T$101:$AG$110),
   MATCH(G97,$AH$62:$AH$71,-1),
   MIN(MATCH(F97,$T$61:$AG$61,1)+1,31))
 *(F97-INDEX($T$61:$AG$61,MATCH(F97,$T$61:$AG$61,1)))
 *(INDEX($AH$62:$AH$71,MIN(MATCH(G97,$AH$62:$AH$71,-1)+1,10))-G97)
+
 INDEX(CHOOSE(MATCH($E$68,{0.4;0.3;0.2;0.1;0},0),
        $T$49:$AG$58,$T$62:$AG$71,$T$75:$AG$84,$T$88:$AG$97,$T$101:$AG$110),
   MIN(MATCH(G97,$AH$62:$AH$71,-1)+1,10),
   MIN(MATCH(F97,$T$61:$AG$61,1)+1,31))
 *(F97-INDEX($T$61:$AG$61,MATCH(F97,$T$61:$AG$61,1)))
 *(G97-INDEX($AH$62:$AH$71,MATCH(G97,$AH$62:$AH$71,-1))))
 /
 ((INDEX($T$61:$AG$61,MIN(MATCH(F97,$T$61:$AG$61,1)+1,31))-INDEX($T$61:$AG$61,MATCH(F97,$T$61:$AG$61,1)))
  *
 (INDEX($AH$62:$AH$71,MIN(MATCH(G97,$AH$62:$AH$71,-1)+1,10))-INDEX($AH$62:$AH$71,MATCH(G97,$AH$62:$AH$71,-1))))))</f>
        <v/>
      </c>
      <c r="M97" s="10">
        <f t="shared" si="7"/>
        <v>0</v>
      </c>
      <c r="N97" s="10">
        <f t="shared" si="8"/>
        <v>0</v>
      </c>
      <c r="O97" s="22"/>
      <c r="P97" s="22"/>
      <c r="Q97" s="22"/>
      <c r="R97" s="22"/>
      <c r="S97" s="49">
        <v>90</v>
      </c>
      <c r="T97">
        <v>-0.05</v>
      </c>
      <c r="U97">
        <v>-0.03</v>
      </c>
      <c r="V97">
        <v>-0.02</v>
      </c>
      <c r="W97">
        <v>0</v>
      </c>
      <c r="X97">
        <v>0.02</v>
      </c>
      <c r="Y97">
        <v>0.03</v>
      </c>
      <c r="Z97">
        <v>0.05</v>
      </c>
      <c r="AA97">
        <v>0.06</v>
      </c>
      <c r="AB97">
        <v>7.0000000000000007E-2</v>
      </c>
      <c r="AC97">
        <v>0.08</v>
      </c>
      <c r="AD97">
        <v>0.09</v>
      </c>
      <c r="AE97">
        <v>0.09</v>
      </c>
      <c r="AF97">
        <v>0.1</v>
      </c>
      <c r="AG97">
        <v>0.1</v>
      </c>
      <c r="AH97" s="51">
        <v>0</v>
      </c>
      <c r="AI97" s="22"/>
      <c r="AJ97" s="22"/>
      <c r="AK97" s="49"/>
      <c r="AM97" s="22"/>
      <c r="AN97" s="22"/>
      <c r="AO97" s="22"/>
      <c r="AP97" s="51"/>
      <c r="AR97" s="22"/>
      <c r="AS97" s="22"/>
      <c r="AW97" s="22"/>
      <c r="BA97" s="22"/>
      <c r="BE97" s="22"/>
      <c r="BI97" s="22"/>
      <c r="BM97" s="22"/>
      <c r="BN97" s="22"/>
      <c r="BO97" s="22"/>
      <c r="BP97" s="22"/>
      <c r="BQ97" s="22"/>
      <c r="BR97" s="22"/>
      <c r="BS97" s="22"/>
    </row>
    <row r="98" spans="1:71" x14ac:dyDescent="0.25">
      <c r="A98" s="36" t="s">
        <v>61</v>
      </c>
      <c r="B98" s="133">
        <v>0</v>
      </c>
      <c r="C98" s="39">
        <v>1.35</v>
      </c>
      <c r="D98" s="10">
        <f t="shared" si="5"/>
        <v>0</v>
      </c>
      <c r="E98" s="82"/>
      <c r="F98" s="82"/>
      <c r="G98" s="82"/>
      <c r="H98" s="133" t="s">
        <v>215</v>
      </c>
      <c r="I98" s="97" t="str" cm="1">
        <f t="array" ref="I98">IF(OR(F98="",G98=""),"",
(INDEX(CHOOSE(MATCH($E$68,{0.4;0.3;0.2;0.1;0},0),$T$49:$AG$58,$T$62:$AG$71,$T$75:$AG$84,$T$88:$AG$97,$T$101:$AG$110),
MATCH(G98,$S$62:$S$71,1),
MATCH(F98,$T$61:$AG$61,1))
*(INDEX($T$61:$AG$61,MATCH(F98,$T$61:$AG$61,1)+1)-F98)
*(INDEX($S$62:$S$71,MATCH(G98,$S$62:$S$71,1)+1)-G98)
+
INDEX(CHOOSE(MATCH($E$68,{0.4;0.3;0.2;0.1;0},0),$T$49:$AG$58,$T$62:$AG$71,$T$75:$AG$84,$T$88:$AG$97,$T$101:$AG$110),
MATCH(G98,$S$62:$S$71,1)+1,
MATCH(F98,$T$61:$AG$61,1))
*(INDEX($T$61:$AG$61,MATCH(F98,$T$61:$AG$61,1)+1)-F98)
*(G98-INDEX($S$62:$S$71,MATCH(G98,$S$62:$S$71,1)))
+
INDEX(CHOOSE(MATCH($E$68,{0.4;0.3;0.2;0.1;0},0),$T$49:$AG$58,$T$62:$AG$71,$T$75:$AG$84,$T$88:$AG$97,$T$101:$AG$110),
MATCH(G98,$S$62:$S$71,1),
MATCH(F98,$T$61:$AG$61,1)+1)
*(F98-INDEX($T$61:$AG$61,MATCH(F98,$T$61:$AG$61,1)))
*(INDEX($S$62:$S$71,MATCH(G98,$S$62:$S$71,1)+1)-G98)
+
INDEX(CHOOSE(MATCH($E$68,{0.4;0.3;0.2;0.1;0},0),$T$49:$AG$58,$T$62:$AG$71,$T$75:$AG$84,$T$88:$AG$97,$T$101:$AG$110),
MATCH(G98,$S$62:$S$71,1)+1,
MATCH(F98,$T$61:$AG$61,1)+1)
*(F98-INDEX($T$61:$AG$61,MATCH(F98,$T$61:$AG$61,1)))
*(G98-INDEX($S$62:$S$71,MATCH(G98,$S$62:$S$71,1))))
/
((INDEX($T$61:$AG$61,MATCH(F98,$T$61:$AG$61,1)+1)-INDEX($T$61:$AG$61,MATCH(F98,$T$61:$AG$61,1)))
*
(INDEX($S$62:$S$71,MATCH(G98,$S$62:$S$71,1)+1)-INDEX($S$62:$S$71,MATCH(G98,$S$62:$S$71,1)))))</f>
        <v/>
      </c>
      <c r="K98" s="10">
        <f t="shared" si="6"/>
        <v>0</v>
      </c>
      <c r="L98" s="97" t="str" cm="1">
        <f t="array" ref="L98">IF(OR(F98="",G98=""),"",
IF((INDEX($T$61:$AG$61,MIN(MATCH(F98,$T$61:$AG$61,1)+1,31))-INDEX($T$61:$AG$61,MATCH(F98,$T$61:$AG$61,1)))*(INDEX($AH$62:$AH$71,MIN(MATCH(G98,$AH$62:$AH$71,-1)+1,10))-INDEX($AH$62:$AH$71,MATCH(G98,$AH$62:$AH$71,-1)))=0,
INDEX(CHOOSE(MATCH($E$68,{0.4;0.3;0.2;0.1;0},0),
        $T$49:$AG$58,$T$62:$AG$71,$T$75:$AG$84,$T$88:$AG$97,$T$101:$AG$110),
   MATCH(G98,$AH$62:$AH$71,-1),
   MATCH(F98,$T$61:$AG$61,1)),
(INDEX(CHOOSE(MATCH($E$68,{0.4;0.3;0.2;0.1;0},0),
        $T$49:$AG$58,$T$62:$AG$71,$T$75:$AG$84,$T$88:$AG$97,$T$101:$AG$110),
   MATCH(G98,$AH$62:$AH$71,-1),
   MATCH(F98,$T$61:$AG$61,1))
 *(INDEX($T$61:$AG$61,MIN(MATCH(F98,$T$61:$AG$61,1)+1,31))-F98)
 *(INDEX($AH$62:$AH$71,MIN(MATCH(G98,$AH$62:$AH$71,-1)+1,10))-G98)
+
 INDEX(CHOOSE(MATCH($E$68,{0.4;0.3;0.2;0.1;0},0),
        $T$49:$AG$58,$T$62:$AG$71,$T$75:$AG$84,$T$88:$AG$97,$T$101:$AG$110),
   MIN(MATCH(G98,$AH$62:$AH$71,-1)+1,10),
   MATCH(F98,$T$61:$AG$61,1))
 *(INDEX($T$61:$AG$61,MIN(MATCH(F98,$T$61:$AG$61,1)+1,31))-F98)
 *(G98-INDEX($AH$62:$AH$71,MATCH(G98,$AH$62:$AH$71,-1)))
+
 INDEX(CHOOSE(MATCH($E$68,{0.4;0.3;0.2;0.1;0},0),
        $T$49:$AG$58,$T$62:$AG$71,$T$75:$AG$84,$T$88:$AG$97,$T$101:$AG$110),
   MATCH(G98,$AH$62:$AH$71,-1),
   MIN(MATCH(F98,$T$61:$AG$61,1)+1,31))
 *(F98-INDEX($T$61:$AG$61,MATCH(F98,$T$61:$AG$61,1)))
 *(INDEX($AH$62:$AH$71,MIN(MATCH(G98,$AH$62:$AH$71,-1)+1,10))-G98)
+
 INDEX(CHOOSE(MATCH($E$68,{0.4;0.3;0.2;0.1;0},0),
        $T$49:$AG$58,$T$62:$AG$71,$T$75:$AG$84,$T$88:$AG$97,$T$101:$AG$110),
   MIN(MATCH(G98,$AH$62:$AH$71,-1)+1,10),
   MIN(MATCH(F98,$T$61:$AG$61,1)+1,31))
 *(F98-INDEX($T$61:$AG$61,MATCH(F98,$T$61:$AG$61,1)))
 *(G98-INDEX($AH$62:$AH$71,MATCH(G98,$AH$62:$AH$71,-1))))
 /
 ((INDEX($T$61:$AG$61,MIN(MATCH(F98,$T$61:$AG$61,1)+1,31))-INDEX($T$61:$AG$61,MATCH(F98,$T$61:$AG$61,1)))
  *
 (INDEX($AH$62:$AH$71,MIN(MATCH(G98,$AH$62:$AH$71,-1)+1,10))-INDEX($AH$62:$AH$71,MATCH(G98,$AH$62:$AH$71,-1))))))</f>
        <v/>
      </c>
      <c r="M98" s="10">
        <f t="shared" si="7"/>
        <v>0</v>
      </c>
      <c r="N98" s="10">
        <f t="shared" si="8"/>
        <v>0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49"/>
      <c r="AM98" s="22"/>
      <c r="AN98" s="22"/>
      <c r="AO98" s="22"/>
      <c r="AP98" s="51"/>
      <c r="AR98" s="22"/>
      <c r="AS98" s="22"/>
      <c r="AW98" s="22"/>
      <c r="BA98" s="22"/>
      <c r="BE98" s="22"/>
      <c r="BI98" s="22"/>
      <c r="BM98" s="22"/>
      <c r="BN98" s="22"/>
      <c r="BO98" s="22"/>
      <c r="BP98" s="22"/>
      <c r="BQ98" s="22"/>
      <c r="BR98" s="22"/>
      <c r="BS98" s="22"/>
    </row>
    <row r="99" spans="1:71" x14ac:dyDescent="0.25">
      <c r="A99" s="22"/>
      <c r="B99" s="22"/>
      <c r="C99" s="22"/>
      <c r="D99" s="22"/>
      <c r="E99" s="22"/>
      <c r="F99" s="22"/>
      <c r="G99" s="22"/>
      <c r="H99" s="22"/>
      <c r="I99" s="4" t="s">
        <v>96</v>
      </c>
      <c r="J99" s="6" t="s">
        <v>40</v>
      </c>
      <c r="K99" s="10">
        <f>K93+K94+K95+K96+K97+K98</f>
        <v>0</v>
      </c>
      <c r="L99" s="22"/>
      <c r="M99" s="45" t="s">
        <v>94</v>
      </c>
      <c r="N99" s="10">
        <f>N93+N94+N95+N96+N97+N98</f>
        <v>0</v>
      </c>
      <c r="O99" s="22"/>
      <c r="P99" s="22"/>
      <c r="Q99" s="22"/>
      <c r="R99" s="22"/>
      <c r="S99" s="47">
        <v>0</v>
      </c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49"/>
      <c r="AM99" s="22"/>
      <c r="AN99" s="22"/>
      <c r="AO99" s="22"/>
      <c r="AP99" s="51"/>
      <c r="AR99" s="22"/>
      <c r="AS99" s="22"/>
      <c r="AW99" s="22"/>
      <c r="BA99" s="22"/>
      <c r="BE99" s="22"/>
      <c r="BI99" s="22"/>
      <c r="BM99" s="22"/>
      <c r="BN99" s="22"/>
      <c r="BO99" s="22"/>
      <c r="BP99" s="22"/>
      <c r="BQ99" s="22"/>
      <c r="BR99" s="22"/>
      <c r="BS99" s="22"/>
    </row>
    <row r="100" spans="1:71" x14ac:dyDescent="0.25">
      <c r="A100" s="22"/>
      <c r="B100" s="22"/>
      <c r="C100" s="6" t="s">
        <v>73</v>
      </c>
      <c r="D100" s="10">
        <f>SUMIF(H86:H91,"Pr",M86:M91) + SUMIF(H93:H98,"Pr",M93:M98)+SUMIF(H86:H91,"-",M86:M91)+SUMIF(H93:H98,"-",M93:M98)</f>
        <v>0</v>
      </c>
      <c r="E100" s="22"/>
      <c r="F100" s="6" t="s">
        <v>74</v>
      </c>
      <c r="G100" s="10">
        <f>SUMIF(H86:H91,"Pp",M86:M91) + SUMIF(H93:H98,"Pp",M93:M98)+SUMIF(H86:H91,"-",M86:M91)+SUMIF(H93:H98,"-",M93:M98)</f>
        <v>0</v>
      </c>
      <c r="H100" s="22"/>
      <c r="I100" s="23"/>
      <c r="J100" s="22"/>
      <c r="K100" s="44"/>
      <c r="L100" s="22"/>
      <c r="M100" s="23"/>
      <c r="N100" s="44"/>
      <c r="O100" s="22"/>
      <c r="P100" s="22"/>
      <c r="Q100" s="22"/>
      <c r="R100" s="22"/>
      <c r="S100" t="s">
        <v>172</v>
      </c>
      <c r="T100" s="7">
        <v>-30</v>
      </c>
      <c r="U100" s="7">
        <v>-20</v>
      </c>
      <c r="V100" s="7">
        <v>-10</v>
      </c>
      <c r="W100" s="7">
        <v>0</v>
      </c>
      <c r="X100" s="7">
        <v>10</v>
      </c>
      <c r="Y100" s="7">
        <v>20</v>
      </c>
      <c r="Z100" s="7">
        <v>30</v>
      </c>
      <c r="AA100" s="7">
        <v>40</v>
      </c>
      <c r="AB100" s="7">
        <v>45</v>
      </c>
      <c r="AC100" s="7">
        <v>50</v>
      </c>
      <c r="AD100" s="7">
        <v>60</v>
      </c>
      <c r="AE100" s="7">
        <v>70</v>
      </c>
      <c r="AF100" s="7">
        <v>80</v>
      </c>
      <c r="AG100" s="7">
        <v>90</v>
      </c>
      <c r="AH100" t="s">
        <v>173</v>
      </c>
      <c r="AI100" s="22"/>
      <c r="AJ100" s="22"/>
      <c r="AK100" s="49"/>
      <c r="AM100" s="22"/>
      <c r="AN100" s="22"/>
      <c r="AO100" s="22"/>
      <c r="AP100" s="51"/>
      <c r="AR100" s="22"/>
      <c r="AS100" s="22"/>
      <c r="AW100" s="22"/>
      <c r="BA100" s="22"/>
      <c r="BE100" s="22"/>
      <c r="BI100" s="22"/>
      <c r="BM100" s="22"/>
      <c r="BN100" s="22"/>
      <c r="BO100" s="22"/>
      <c r="BP100" s="22"/>
      <c r="BQ100" s="22"/>
      <c r="BR100" s="22"/>
      <c r="BS100" s="22"/>
    </row>
    <row r="101" spans="1:71" x14ac:dyDescent="0.25">
      <c r="A101" s="22"/>
      <c r="B101" s="22"/>
      <c r="C101" s="23"/>
      <c r="D101" s="44"/>
      <c r="E101" s="22"/>
      <c r="F101" s="23"/>
      <c r="G101" s="44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49">
        <v>0</v>
      </c>
      <c r="T101">
        <v>0.87</v>
      </c>
      <c r="U101">
        <v>0.94</v>
      </c>
      <c r="V101">
        <v>0.98</v>
      </c>
      <c r="W101">
        <v>1</v>
      </c>
      <c r="X101">
        <v>0.98</v>
      </c>
      <c r="Y101">
        <v>0.94</v>
      </c>
      <c r="Z101">
        <v>0.87</v>
      </c>
      <c r="AA101">
        <v>0.77</v>
      </c>
      <c r="AB101">
        <v>0.71</v>
      </c>
      <c r="AC101">
        <v>0.64</v>
      </c>
      <c r="AD101">
        <v>0.5</v>
      </c>
      <c r="AE101">
        <v>0.34</v>
      </c>
      <c r="AF101">
        <v>0.17</v>
      </c>
      <c r="AG101">
        <v>0</v>
      </c>
      <c r="AH101" s="51">
        <v>90</v>
      </c>
      <c r="AI101" s="22"/>
      <c r="AJ101" s="22"/>
      <c r="AK101" s="49"/>
      <c r="AM101" s="22"/>
      <c r="AN101" s="22"/>
      <c r="AO101" s="22"/>
      <c r="AP101" s="51"/>
      <c r="AR101" s="22"/>
      <c r="AS101" s="22"/>
      <c r="AW101" s="22"/>
      <c r="BA101" s="22"/>
      <c r="BE101" s="22"/>
      <c r="BI101" s="22"/>
      <c r="BM101" s="22"/>
      <c r="BN101" s="22"/>
      <c r="BO101" s="22"/>
      <c r="BP101" s="22"/>
      <c r="BQ101" s="22"/>
      <c r="BR101" s="22"/>
      <c r="BS101" s="22"/>
    </row>
    <row r="102" spans="1:71" x14ac:dyDescent="0.25">
      <c r="A102" s="22"/>
      <c r="B102" s="6" t="s">
        <v>75</v>
      </c>
      <c r="C102" s="7"/>
      <c r="D102" s="7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49">
        <v>10</v>
      </c>
      <c r="T102">
        <v>0.85</v>
      </c>
      <c r="U102">
        <v>0.93</v>
      </c>
      <c r="V102">
        <v>0.97</v>
      </c>
      <c r="W102">
        <v>0.98</v>
      </c>
      <c r="X102">
        <v>0.97</v>
      </c>
      <c r="Y102">
        <v>0.93</v>
      </c>
      <c r="Z102">
        <v>0.85</v>
      </c>
      <c r="AA102">
        <v>0.75</v>
      </c>
      <c r="AB102">
        <v>0.7</v>
      </c>
      <c r="AC102">
        <v>0.63</v>
      </c>
      <c r="AD102">
        <v>0.49</v>
      </c>
      <c r="AE102">
        <v>0.34</v>
      </c>
      <c r="AF102">
        <v>0.17</v>
      </c>
      <c r="AG102">
        <v>0</v>
      </c>
      <c r="AH102" s="51">
        <v>80</v>
      </c>
      <c r="AI102" s="22"/>
      <c r="AJ102" s="22"/>
      <c r="AK102" s="49"/>
      <c r="AM102" s="22"/>
      <c r="AN102" s="22"/>
      <c r="AO102" s="22"/>
      <c r="AP102" s="51"/>
      <c r="AR102" s="22"/>
      <c r="AS102" s="22"/>
      <c r="AW102" s="22"/>
      <c r="BA102" s="22"/>
      <c r="BE102" s="22"/>
      <c r="BI102" s="22"/>
      <c r="BM102" s="22"/>
      <c r="BN102" s="22"/>
      <c r="BO102" s="22"/>
      <c r="BP102" s="22"/>
      <c r="BQ102" s="22"/>
      <c r="BR102" s="22"/>
      <c r="BS102" s="22"/>
    </row>
    <row r="103" spans="1:71" x14ac:dyDescent="0.25">
      <c r="A103" s="22"/>
      <c r="B103" s="22"/>
      <c r="C103" s="6" t="s">
        <v>13</v>
      </c>
      <c r="D103" s="6" t="s">
        <v>0</v>
      </c>
      <c r="E103" s="6" t="s">
        <v>78</v>
      </c>
      <c r="F103" s="6" t="s">
        <v>72</v>
      </c>
      <c r="G103" s="6" t="s">
        <v>79</v>
      </c>
      <c r="H103" s="6" t="s">
        <v>80</v>
      </c>
      <c r="I103" s="6" t="s">
        <v>81</v>
      </c>
      <c r="J103" s="7"/>
      <c r="K103" s="6" t="s">
        <v>62</v>
      </c>
      <c r="L103" s="6" t="s">
        <v>82</v>
      </c>
      <c r="M103" s="6" t="s">
        <v>83</v>
      </c>
      <c r="N103" s="22"/>
      <c r="O103" s="22"/>
      <c r="P103" s="22"/>
      <c r="Q103" s="22"/>
      <c r="R103" s="22"/>
      <c r="S103" s="49">
        <v>20</v>
      </c>
      <c r="T103">
        <v>0.81</v>
      </c>
      <c r="U103">
        <v>0.88</v>
      </c>
      <c r="V103">
        <v>0.93</v>
      </c>
      <c r="W103">
        <v>0.94</v>
      </c>
      <c r="X103">
        <v>0.93</v>
      </c>
      <c r="Y103">
        <v>0.88</v>
      </c>
      <c r="Z103">
        <v>0.81</v>
      </c>
      <c r="AA103">
        <v>0.72</v>
      </c>
      <c r="AB103">
        <v>0.66</v>
      </c>
      <c r="AC103">
        <v>0.6</v>
      </c>
      <c r="AD103">
        <v>0.47</v>
      </c>
      <c r="AE103">
        <v>0.32</v>
      </c>
      <c r="AF103">
        <v>0.16</v>
      </c>
      <c r="AG103">
        <v>0</v>
      </c>
      <c r="AH103" s="51">
        <v>70</v>
      </c>
      <c r="AI103" s="22"/>
      <c r="AJ103" s="22"/>
      <c r="AK103" s="49"/>
      <c r="AM103" s="22"/>
      <c r="AN103" s="22"/>
      <c r="AO103" s="22"/>
      <c r="AP103" s="51"/>
      <c r="AR103" s="22"/>
      <c r="AS103" s="22"/>
      <c r="AW103" s="22"/>
      <c r="BA103" s="22"/>
      <c r="BE103" s="22"/>
      <c r="BI103" s="22"/>
      <c r="BM103" s="22"/>
      <c r="BN103" s="22"/>
      <c r="BO103" s="22"/>
      <c r="BP103" s="22"/>
      <c r="BQ103" s="22"/>
      <c r="BR103" s="22"/>
      <c r="BS103" s="22"/>
    </row>
    <row r="104" spans="1:71" x14ac:dyDescent="0.25">
      <c r="A104" s="22"/>
      <c r="B104" s="6" t="s">
        <v>76</v>
      </c>
      <c r="C104" s="40">
        <f>E$68</f>
        <v>0</v>
      </c>
      <c r="D104" s="40">
        <f>E$67</f>
        <v>0</v>
      </c>
      <c r="E104" s="39">
        <v>9.81</v>
      </c>
      <c r="F104" s="41">
        <f>K99</f>
        <v>0</v>
      </c>
      <c r="G104" s="38"/>
      <c r="H104" s="38"/>
      <c r="I104" s="38"/>
      <c r="K104" s="10">
        <f>TRUNC(C104*D104*E104+F104,1)</f>
        <v>0</v>
      </c>
      <c r="L104" s="10">
        <f>G81</f>
        <v>0</v>
      </c>
      <c r="M104" s="5"/>
      <c r="N104" s="22"/>
      <c r="O104" s="22"/>
      <c r="P104" s="22"/>
      <c r="Q104" s="22"/>
      <c r="R104" s="22"/>
      <c r="S104" s="49">
        <v>30</v>
      </c>
      <c r="T104">
        <v>0.75</v>
      </c>
      <c r="U104">
        <v>0.81</v>
      </c>
      <c r="V104">
        <v>0.85</v>
      </c>
      <c r="W104">
        <v>0.87</v>
      </c>
      <c r="X104">
        <v>0.85</v>
      </c>
      <c r="Y104">
        <v>0.81</v>
      </c>
      <c r="Z104">
        <v>0.75</v>
      </c>
      <c r="AA104">
        <v>0.66</v>
      </c>
      <c r="AB104">
        <v>0.61</v>
      </c>
      <c r="AC104">
        <v>0.56000000000000005</v>
      </c>
      <c r="AD104">
        <v>0.43</v>
      </c>
      <c r="AE104">
        <v>0.3</v>
      </c>
      <c r="AF104">
        <v>0.15</v>
      </c>
      <c r="AG104">
        <v>0</v>
      </c>
      <c r="AH104" s="51">
        <v>60</v>
      </c>
      <c r="AI104" s="22"/>
      <c r="AJ104" s="22"/>
      <c r="AK104" s="49"/>
      <c r="AM104" s="22"/>
      <c r="AN104" s="22"/>
      <c r="AO104" s="22"/>
      <c r="AP104" s="51"/>
      <c r="AR104" s="22"/>
      <c r="AS104" s="22"/>
      <c r="AW104" s="22"/>
      <c r="BA104" s="22"/>
      <c r="BE104" s="22"/>
      <c r="BI104" s="22"/>
      <c r="BM104" s="22"/>
      <c r="BN104" s="22"/>
      <c r="BO104" s="22"/>
      <c r="BP104" s="22"/>
      <c r="BQ104" s="22"/>
      <c r="BR104" s="22"/>
      <c r="BS104" s="22"/>
    </row>
    <row r="105" spans="1:71" x14ac:dyDescent="0.25">
      <c r="A105" s="22"/>
      <c r="B105" s="6" t="s">
        <v>77</v>
      </c>
      <c r="C105" s="40">
        <f t="shared" ref="C105:C107" si="9">E$68</f>
        <v>0</v>
      </c>
      <c r="D105" s="40">
        <f t="shared" ref="D105:D107" si="10">E$67</f>
        <v>0</v>
      </c>
      <c r="E105" s="39">
        <v>9.81</v>
      </c>
      <c r="F105" s="41">
        <f>K92</f>
        <v>0</v>
      </c>
      <c r="G105" s="38"/>
      <c r="H105" s="38"/>
      <c r="I105" s="38"/>
      <c r="K105" s="10">
        <f>TRUNC(C105*D105*E105+F105,1)</f>
        <v>0</v>
      </c>
      <c r="L105" s="10">
        <f>G81</f>
        <v>0</v>
      </c>
      <c r="M105" s="5"/>
      <c r="N105" s="22"/>
      <c r="O105" s="22"/>
      <c r="P105" s="22"/>
      <c r="Q105" s="22"/>
      <c r="R105" s="22"/>
      <c r="S105" s="49">
        <v>40</v>
      </c>
      <c r="T105">
        <v>0.66</v>
      </c>
      <c r="U105">
        <v>0.72</v>
      </c>
      <c r="V105">
        <v>0.75</v>
      </c>
      <c r="W105">
        <v>0.77</v>
      </c>
      <c r="X105">
        <v>0.75</v>
      </c>
      <c r="Y105">
        <v>0.72</v>
      </c>
      <c r="Z105">
        <v>0.66</v>
      </c>
      <c r="AA105">
        <v>0.59</v>
      </c>
      <c r="AB105">
        <v>0.54</v>
      </c>
      <c r="AC105">
        <v>0.49</v>
      </c>
      <c r="AD105">
        <v>0.38</v>
      </c>
      <c r="AE105">
        <v>0.26</v>
      </c>
      <c r="AF105">
        <v>0.13</v>
      </c>
      <c r="AG105">
        <v>0</v>
      </c>
      <c r="AH105" s="51">
        <v>50</v>
      </c>
      <c r="AI105" s="22"/>
      <c r="AJ105" s="22"/>
      <c r="AK105" s="49"/>
      <c r="AM105" s="22"/>
      <c r="AN105" s="22"/>
      <c r="AO105" s="22"/>
      <c r="AP105" s="51"/>
      <c r="AR105" s="22"/>
      <c r="AS105" s="22"/>
      <c r="AW105" s="22"/>
      <c r="BA105" s="22"/>
      <c r="BE105" s="22"/>
      <c r="BI105" s="22"/>
      <c r="BM105" s="22"/>
      <c r="BN105" s="22"/>
      <c r="BO105" s="22"/>
      <c r="BP105" s="22"/>
      <c r="BQ105" s="22"/>
      <c r="BR105" s="22"/>
      <c r="BS105" s="22"/>
    </row>
    <row r="106" spans="1:71" x14ac:dyDescent="0.25">
      <c r="A106" s="22"/>
      <c r="B106" s="6" t="s">
        <v>90</v>
      </c>
      <c r="C106" s="40">
        <f t="shared" si="9"/>
        <v>0</v>
      </c>
      <c r="D106" s="40">
        <f t="shared" si="10"/>
        <v>0</v>
      </c>
      <c r="E106" s="39">
        <v>9.81</v>
      </c>
      <c r="F106" s="38"/>
      <c r="G106" s="54">
        <f>IF(E68=0,0.2,IF(E68=0.1,0.5,IF(E68=0.2,0.7,IF(E68=0.3,0.8,IF(E68=0.4,0.85,IF(E68=0.5,0.9))))))</f>
        <v>0.2</v>
      </c>
      <c r="H106" s="10">
        <f>G106*G82</f>
        <v>0</v>
      </c>
      <c r="I106" s="41">
        <f>G100</f>
        <v>0</v>
      </c>
      <c r="K106" s="10">
        <f>TRUNC(C107*(D107*E107-H107)+I106,1)</f>
        <v>0</v>
      </c>
      <c r="L106" s="10">
        <f>G80</f>
        <v>0</v>
      </c>
      <c r="M106" s="5"/>
      <c r="N106" s="22"/>
      <c r="O106" s="22"/>
      <c r="P106" s="22"/>
      <c r="Q106" s="22"/>
      <c r="R106" s="22"/>
      <c r="S106" s="49">
        <v>50</v>
      </c>
      <c r="T106">
        <v>0.56000000000000005</v>
      </c>
      <c r="U106">
        <v>0.6</v>
      </c>
      <c r="V106">
        <v>0.63</v>
      </c>
      <c r="W106">
        <v>0.64</v>
      </c>
      <c r="X106">
        <v>0.63</v>
      </c>
      <c r="Y106">
        <v>0.6</v>
      </c>
      <c r="Z106">
        <v>0.56000000000000005</v>
      </c>
      <c r="AA106">
        <v>0.49</v>
      </c>
      <c r="AB106">
        <v>0.45</v>
      </c>
      <c r="AC106">
        <v>0.41</v>
      </c>
      <c r="AD106">
        <v>0.32</v>
      </c>
      <c r="AE106">
        <v>0.22</v>
      </c>
      <c r="AF106">
        <v>0.11</v>
      </c>
      <c r="AG106">
        <v>0</v>
      </c>
      <c r="AH106" s="51">
        <v>40</v>
      </c>
      <c r="AI106" s="22"/>
      <c r="AJ106" s="22"/>
      <c r="AK106" s="49"/>
      <c r="AM106" s="22"/>
      <c r="AN106" s="22"/>
      <c r="AO106" s="22"/>
      <c r="AP106" s="51"/>
      <c r="AR106" s="22"/>
      <c r="AS106" s="22"/>
      <c r="AW106" s="22"/>
      <c r="BA106" s="22"/>
      <c r="BE106" s="22"/>
      <c r="BI106" s="22"/>
      <c r="BM106" s="22"/>
      <c r="BN106" s="22"/>
      <c r="BO106" s="22"/>
      <c r="BP106" s="22"/>
      <c r="BQ106" s="22"/>
      <c r="BR106" s="22"/>
      <c r="BS106" s="22"/>
    </row>
    <row r="107" spans="1:71" x14ac:dyDescent="0.25">
      <c r="A107" s="22"/>
      <c r="B107" s="6" t="s">
        <v>91</v>
      </c>
      <c r="C107" s="40">
        <f t="shared" si="9"/>
        <v>0</v>
      </c>
      <c r="D107" s="40">
        <f t="shared" si="10"/>
        <v>0</v>
      </c>
      <c r="E107" s="39">
        <v>9.81</v>
      </c>
      <c r="F107" s="38"/>
      <c r="G107" s="54">
        <f>IF(E68=0,0.2,IF(E68=0.1,0.5,IF(E68=0.2,0.7,IF(E68=0.3,0.8,IF(E68=0.4,0.85,IF(E68=0.5,0.9))))))</f>
        <v>0.2</v>
      </c>
      <c r="H107" s="10">
        <f>G107*G82</f>
        <v>0</v>
      </c>
      <c r="I107" s="41">
        <f>D100</f>
        <v>0</v>
      </c>
      <c r="K107" s="10">
        <f>TRUNC(C106*(D106*E106-H106)+I107,1)</f>
        <v>0</v>
      </c>
      <c r="L107" s="10">
        <f>G80</f>
        <v>0</v>
      </c>
      <c r="M107" s="5"/>
      <c r="N107" s="22"/>
      <c r="O107" s="22"/>
      <c r="P107" s="22"/>
      <c r="Q107" s="22"/>
      <c r="R107" s="22"/>
      <c r="S107" s="49">
        <v>60</v>
      </c>
      <c r="T107">
        <v>0.43</v>
      </c>
      <c r="U107">
        <v>0.47</v>
      </c>
      <c r="V107">
        <v>0.49</v>
      </c>
      <c r="W107">
        <v>0.5</v>
      </c>
      <c r="X107">
        <v>0.49</v>
      </c>
      <c r="Y107">
        <v>0.47</v>
      </c>
      <c r="Z107">
        <v>0.43</v>
      </c>
      <c r="AA107">
        <v>0.38</v>
      </c>
      <c r="AB107">
        <v>0.35</v>
      </c>
      <c r="AC107">
        <v>0.32</v>
      </c>
      <c r="AD107">
        <v>0.25</v>
      </c>
      <c r="AE107">
        <v>0.17</v>
      </c>
      <c r="AF107">
        <v>0.09</v>
      </c>
      <c r="AG107">
        <v>0</v>
      </c>
      <c r="AH107" s="51">
        <v>30</v>
      </c>
      <c r="AI107" s="22"/>
      <c r="AJ107" s="22"/>
      <c r="AK107" s="49"/>
      <c r="AM107" s="22"/>
      <c r="AN107" s="22"/>
      <c r="AO107" s="22"/>
      <c r="AP107" s="51"/>
      <c r="AR107" s="22"/>
      <c r="AS107" s="22"/>
      <c r="AW107" s="22"/>
      <c r="BA107" s="22"/>
      <c r="BE107" s="22"/>
      <c r="BI107" s="22"/>
      <c r="BM107" s="22"/>
      <c r="BN107" s="22"/>
      <c r="BO107" s="22"/>
      <c r="BP107" s="22"/>
      <c r="BQ107" s="22"/>
      <c r="BR107" s="22"/>
      <c r="BS107" s="22"/>
    </row>
    <row r="108" spans="1:71" x14ac:dyDescent="0.25">
      <c r="A108" s="22"/>
      <c r="B108" s="22"/>
      <c r="C108" s="22"/>
      <c r="D108" s="6" t="s">
        <v>86</v>
      </c>
      <c r="E108" s="6" t="s">
        <v>0</v>
      </c>
      <c r="F108" s="6" t="s">
        <v>78</v>
      </c>
      <c r="G108" s="6" t="s">
        <v>87</v>
      </c>
      <c r="H108" s="6" t="s">
        <v>88</v>
      </c>
      <c r="I108" s="6" t="s">
        <v>62</v>
      </c>
      <c r="J108" s="7"/>
      <c r="K108" s="6" t="s">
        <v>89</v>
      </c>
      <c r="L108" s="7" t="s">
        <v>83</v>
      </c>
      <c r="M108" s="22"/>
      <c r="N108" s="22"/>
      <c r="O108" s="22"/>
      <c r="P108" s="22"/>
      <c r="Q108" s="22"/>
      <c r="R108" s="22"/>
      <c r="S108" s="49">
        <v>70</v>
      </c>
      <c r="T108">
        <v>0.3</v>
      </c>
      <c r="U108">
        <v>0.32</v>
      </c>
      <c r="V108">
        <v>0.34</v>
      </c>
      <c r="W108">
        <v>0.34</v>
      </c>
      <c r="X108">
        <v>0.34</v>
      </c>
      <c r="Y108">
        <v>0.32</v>
      </c>
      <c r="Z108">
        <v>0.3</v>
      </c>
      <c r="AA108">
        <v>0.26</v>
      </c>
      <c r="AB108">
        <v>0.24</v>
      </c>
      <c r="AC108">
        <v>0.22</v>
      </c>
      <c r="AD108">
        <v>0.17</v>
      </c>
      <c r="AE108">
        <v>0.12</v>
      </c>
      <c r="AF108">
        <v>0.06</v>
      </c>
      <c r="AG108">
        <v>0</v>
      </c>
      <c r="AH108" s="51">
        <v>20</v>
      </c>
      <c r="AI108" s="22"/>
      <c r="AJ108" s="22"/>
      <c r="AK108" s="49"/>
      <c r="AM108" s="22"/>
      <c r="AN108" s="22"/>
      <c r="AO108" s="22"/>
      <c r="AP108" s="51"/>
      <c r="AR108" s="22"/>
      <c r="AS108" s="22"/>
      <c r="AW108" s="22"/>
      <c r="BA108" s="22"/>
      <c r="BE108" s="22"/>
      <c r="BI108" s="22"/>
      <c r="BM108" s="22"/>
      <c r="BN108" s="22"/>
      <c r="BO108" s="22"/>
      <c r="BP108" s="22"/>
      <c r="BQ108" s="22"/>
      <c r="BR108" s="22"/>
      <c r="BS108" s="22"/>
    </row>
    <row r="109" spans="1:71" x14ac:dyDescent="0.25">
      <c r="A109" s="22"/>
      <c r="B109" s="6" t="s">
        <v>84</v>
      </c>
      <c r="C109" s="7"/>
      <c r="D109" s="40">
        <f>E71</f>
        <v>0</v>
      </c>
      <c r="E109" s="40">
        <f>E$67</f>
        <v>0</v>
      </c>
      <c r="F109" s="39">
        <v>9.81</v>
      </c>
      <c r="G109" s="10">
        <f>TRUNC(0.9*N99,2)</f>
        <v>0</v>
      </c>
      <c r="H109" s="42"/>
      <c r="I109" s="10">
        <f>TRUNC(D109*E109*F109+G109,1)</f>
        <v>0</v>
      </c>
      <c r="J109" s="2"/>
      <c r="K109" s="10">
        <f>TRUNC(G81*E69,2)</f>
        <v>0</v>
      </c>
      <c r="L109" s="5"/>
      <c r="M109" s="22"/>
      <c r="N109" s="22"/>
      <c r="O109" s="22"/>
      <c r="P109" s="22"/>
      <c r="Q109" s="22"/>
      <c r="R109" s="22"/>
      <c r="S109" s="49">
        <v>80</v>
      </c>
      <c r="T109">
        <v>0.15</v>
      </c>
      <c r="U109">
        <v>0.16</v>
      </c>
      <c r="V109">
        <v>0.17</v>
      </c>
      <c r="W109">
        <v>0.17</v>
      </c>
      <c r="X109">
        <v>0.17</v>
      </c>
      <c r="Y109">
        <v>0.16</v>
      </c>
      <c r="Z109">
        <v>0.15</v>
      </c>
      <c r="AA109">
        <v>0.13</v>
      </c>
      <c r="AB109">
        <v>0.12</v>
      </c>
      <c r="AC109">
        <v>0.11</v>
      </c>
      <c r="AD109">
        <v>0.09</v>
      </c>
      <c r="AE109">
        <v>0.06</v>
      </c>
      <c r="AF109">
        <v>0.03</v>
      </c>
      <c r="AG109">
        <v>0</v>
      </c>
      <c r="AH109" s="51">
        <v>10</v>
      </c>
      <c r="AI109" s="22"/>
      <c r="AJ109" s="22"/>
      <c r="AK109" s="49"/>
      <c r="AM109" s="22"/>
      <c r="AN109" s="22"/>
      <c r="AO109" s="22"/>
      <c r="AP109" s="51"/>
      <c r="AR109" s="22"/>
      <c r="AS109" s="22"/>
      <c r="AW109" s="22"/>
      <c r="BA109" s="22"/>
      <c r="BE109" s="22"/>
      <c r="BI109" s="22"/>
      <c r="BM109" s="22"/>
      <c r="BN109" s="22"/>
      <c r="BO109" s="22"/>
      <c r="BP109" s="22"/>
      <c r="BQ109" s="22"/>
      <c r="BR109" s="22"/>
      <c r="BS109" s="22"/>
    </row>
    <row r="110" spans="1:71" x14ac:dyDescent="0.25">
      <c r="A110" s="22"/>
      <c r="B110" s="6" t="s">
        <v>85</v>
      </c>
      <c r="C110" s="7"/>
      <c r="D110" s="40">
        <f>E70</f>
        <v>0</v>
      </c>
      <c r="E110" s="40">
        <f>E$67</f>
        <v>0</v>
      </c>
      <c r="F110" s="39">
        <v>9.81</v>
      </c>
      <c r="G110" s="42"/>
      <c r="H110" s="10">
        <f>TRUNC(0.9*N92,2)</f>
        <v>0</v>
      </c>
      <c r="I110" s="10">
        <f>TRUNC(D110*E110*F110+H110,1)</f>
        <v>0</v>
      </c>
      <c r="J110" s="2"/>
      <c r="K110" s="10">
        <f>TRUNC(G81*E69,2)</f>
        <v>0</v>
      </c>
      <c r="L110" s="5"/>
      <c r="M110" s="22"/>
      <c r="N110" s="22"/>
      <c r="O110" s="22"/>
      <c r="P110" s="22"/>
      <c r="Q110" s="22"/>
      <c r="R110" s="22"/>
      <c r="S110" s="49">
        <v>90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s="51">
        <v>0</v>
      </c>
      <c r="AI110" s="22"/>
      <c r="AJ110" s="22"/>
      <c r="AK110" s="49"/>
      <c r="AM110" s="22"/>
      <c r="AN110" s="22"/>
      <c r="AO110" s="22"/>
      <c r="AP110" s="51"/>
      <c r="AR110" s="22"/>
      <c r="AS110" s="22"/>
      <c r="AW110" s="22"/>
      <c r="BA110" s="22"/>
      <c r="BE110" s="22"/>
      <c r="BI110" s="22"/>
      <c r="BM110" s="22"/>
      <c r="BN110" s="22"/>
      <c r="BO110" s="22"/>
      <c r="BP110" s="22"/>
      <c r="BQ110" s="22"/>
      <c r="BR110" s="22"/>
      <c r="BS110" s="22"/>
    </row>
    <row r="111" spans="1:7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49"/>
      <c r="AM111" s="22"/>
      <c r="AN111" s="22"/>
      <c r="AO111" s="22"/>
      <c r="AP111" s="51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</row>
    <row r="112" spans="1:7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49"/>
      <c r="AM112" s="22"/>
      <c r="AN112" s="22"/>
      <c r="AO112" s="22"/>
      <c r="AP112" s="51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</row>
    <row r="113" spans="1:71" x14ac:dyDescent="0.25">
      <c r="A113" s="22"/>
      <c r="B113" s="107"/>
      <c r="C113" s="10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49"/>
      <c r="AM113" s="22"/>
      <c r="AN113" s="22"/>
      <c r="AO113" s="22"/>
      <c r="AP113" s="51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</row>
    <row r="114" spans="1:7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49"/>
      <c r="AM114" s="22"/>
      <c r="AN114" s="22"/>
      <c r="AO114" s="22"/>
      <c r="AP114" s="51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</row>
    <row r="115" spans="1:71" x14ac:dyDescent="0.25">
      <c r="A115" s="22"/>
      <c r="B115" s="7"/>
      <c r="C115" s="22"/>
      <c r="D115" s="7"/>
      <c r="E115" s="22"/>
      <c r="F115" s="7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49"/>
      <c r="AM115" s="22"/>
      <c r="AN115" s="22"/>
      <c r="AO115" s="22"/>
      <c r="AP115" s="51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</row>
    <row r="116" spans="1:71" x14ac:dyDescent="0.25">
      <c r="A116" s="22"/>
      <c r="B116" s="22"/>
      <c r="C116" s="22"/>
      <c r="D116" s="22"/>
      <c r="E116" s="22"/>
      <c r="F116" s="22"/>
      <c r="G116" s="7"/>
      <c r="H116" s="7"/>
      <c r="I116" s="7"/>
      <c r="J116" s="7"/>
      <c r="K116" s="6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49"/>
      <c r="AM116" s="22"/>
      <c r="AN116" s="22"/>
      <c r="AO116" s="22"/>
      <c r="AP116" s="51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</row>
    <row r="117" spans="1:71" x14ac:dyDescent="0.25">
      <c r="A117" s="22"/>
      <c r="B117" s="7"/>
      <c r="C117" s="82"/>
      <c r="D117" s="7"/>
      <c r="E117" s="82"/>
      <c r="F117" s="6"/>
      <c r="G117" s="82"/>
      <c r="H117" s="60" t="s">
        <v>215</v>
      </c>
      <c r="I117" s="39"/>
      <c r="J117" s="7"/>
      <c r="K117" s="96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49"/>
      <c r="AM117" s="22"/>
      <c r="AN117" s="22"/>
      <c r="AO117" s="22"/>
      <c r="AP117" s="51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</row>
    <row r="118" spans="1:71" x14ac:dyDescent="0.25">
      <c r="A118" s="22"/>
      <c r="B118" s="7"/>
      <c r="C118" s="82"/>
      <c r="D118" s="7"/>
      <c r="E118" s="82"/>
      <c r="F118" s="6"/>
      <c r="G118" s="82"/>
      <c r="H118" s="60" t="s">
        <v>215</v>
      </c>
      <c r="I118" s="39"/>
      <c r="J118" s="7"/>
      <c r="K118" s="96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49"/>
      <c r="AM118" s="22"/>
      <c r="AN118" s="22"/>
      <c r="AO118" s="22"/>
      <c r="AP118" s="51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</row>
    <row r="119" spans="1:71" x14ac:dyDescent="0.25">
      <c r="A119" s="22"/>
      <c r="B119" s="7"/>
      <c r="C119" s="73"/>
      <c r="D119" s="7"/>
      <c r="E119" s="82"/>
      <c r="F119" s="6"/>
      <c r="G119" s="82"/>
      <c r="H119" s="60" t="s">
        <v>215</v>
      </c>
      <c r="I119" s="39"/>
      <c r="J119" s="7"/>
      <c r="K119" s="96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49"/>
      <c r="AM119" s="22"/>
      <c r="AN119" s="22"/>
      <c r="AO119" s="22"/>
      <c r="AP119" s="51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</row>
    <row r="120" spans="1:71" x14ac:dyDescent="0.25">
      <c r="A120" s="22"/>
      <c r="B120" s="7"/>
      <c r="C120" s="82"/>
      <c r="D120" s="7"/>
      <c r="E120" s="82"/>
      <c r="F120" s="6"/>
      <c r="G120" s="82"/>
      <c r="H120" s="60" t="s">
        <v>215</v>
      </c>
      <c r="I120" s="39"/>
      <c r="J120" s="7"/>
      <c r="K120" s="96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49"/>
      <c r="AM120" s="22"/>
      <c r="AN120" s="22"/>
      <c r="AO120" s="22"/>
      <c r="AP120" s="51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</row>
    <row r="121" spans="1:71" x14ac:dyDescent="0.25">
      <c r="A121" s="22"/>
      <c r="B121" s="7"/>
      <c r="C121" s="67"/>
      <c r="D121" s="101"/>
      <c r="E121" s="82"/>
      <c r="F121" s="6"/>
      <c r="G121" s="82"/>
      <c r="H121" s="60" t="s">
        <v>215</v>
      </c>
      <c r="I121" s="39"/>
      <c r="J121" s="7"/>
      <c r="K121" s="96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49"/>
      <c r="AM121" s="22"/>
      <c r="AN121" s="22"/>
      <c r="AO121" s="22"/>
      <c r="AP121" s="51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</row>
    <row r="122" spans="1:71" x14ac:dyDescent="0.25">
      <c r="A122" s="22"/>
      <c r="B122" s="7"/>
      <c r="C122" s="82"/>
      <c r="D122" s="101"/>
      <c r="E122" s="82"/>
      <c r="F122" s="6"/>
      <c r="G122" s="82"/>
      <c r="H122" s="60" t="s">
        <v>215</v>
      </c>
      <c r="I122" s="39"/>
      <c r="J122" s="7"/>
      <c r="K122" s="96"/>
      <c r="L122" s="22"/>
      <c r="M122" s="22"/>
      <c r="N122" s="22"/>
      <c r="O122" s="22"/>
      <c r="P122" s="22"/>
      <c r="Q122" s="22"/>
      <c r="R122" s="22"/>
      <c r="S122" s="6" t="s">
        <v>225</v>
      </c>
      <c r="T122" s="51">
        <v>-30</v>
      </c>
      <c r="U122" s="51">
        <v>-20</v>
      </c>
      <c r="V122" s="51">
        <v>-10</v>
      </c>
      <c r="W122" s="51">
        <v>0</v>
      </c>
      <c r="X122" s="51">
        <v>10</v>
      </c>
      <c r="Y122" s="51">
        <v>20</v>
      </c>
      <c r="Z122" s="51">
        <v>30</v>
      </c>
      <c r="AA122" s="51">
        <v>40</v>
      </c>
      <c r="AB122" s="51">
        <v>50</v>
      </c>
      <c r="AC122" s="51">
        <v>60</v>
      </c>
      <c r="AD122" s="51">
        <v>70</v>
      </c>
      <c r="AE122" s="51">
        <v>80</v>
      </c>
      <c r="AF122" s="51">
        <v>90</v>
      </c>
      <c r="AG122" s="22"/>
      <c r="AH122" s="22"/>
      <c r="AI122" s="22"/>
      <c r="AJ122" s="22"/>
      <c r="AK122" s="22"/>
      <c r="AL122" s="22"/>
      <c r="AM122" s="22"/>
      <c r="AN122" s="22"/>
      <c r="AO122" s="22"/>
      <c r="AP122" s="51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</row>
    <row r="123" spans="1:71" x14ac:dyDescent="0.25">
      <c r="A123" s="22"/>
      <c r="B123" s="7"/>
      <c r="C123" s="82"/>
      <c r="D123" s="101"/>
      <c r="E123" s="102" t="s">
        <v>215</v>
      </c>
      <c r="F123" s="6"/>
      <c r="G123" s="82"/>
      <c r="H123" s="60" t="s">
        <v>215</v>
      </c>
      <c r="I123" s="39"/>
      <c r="J123" s="7"/>
      <c r="K123" s="96"/>
      <c r="L123" s="22"/>
      <c r="M123" s="22"/>
      <c r="N123" s="22"/>
      <c r="O123" s="22"/>
      <c r="P123" s="22"/>
      <c r="Q123" s="22"/>
      <c r="R123" s="22"/>
      <c r="S123" s="49">
        <v>0.3</v>
      </c>
      <c r="T123">
        <v>0.72</v>
      </c>
      <c r="U123">
        <v>0.84</v>
      </c>
      <c r="V123">
        <v>0.93</v>
      </c>
      <c r="W123">
        <v>1</v>
      </c>
      <c r="X123">
        <v>1.04</v>
      </c>
      <c r="Y123">
        <v>1.04</v>
      </c>
      <c r="Z123">
        <v>1.02</v>
      </c>
      <c r="AA123">
        <v>0.96</v>
      </c>
      <c r="AB123">
        <v>0.87</v>
      </c>
      <c r="AC123">
        <v>0.76</v>
      </c>
      <c r="AD123">
        <v>0.62</v>
      </c>
      <c r="AE123">
        <v>0.47</v>
      </c>
      <c r="AF123">
        <v>0.3</v>
      </c>
      <c r="AG123" s="22"/>
      <c r="AH123" s="22"/>
      <c r="AI123" s="22"/>
      <c r="AJ123" s="22"/>
      <c r="AK123" s="22"/>
      <c r="AL123" s="22"/>
      <c r="AM123" s="22"/>
      <c r="AN123" s="22"/>
      <c r="AO123" s="22"/>
      <c r="AP123" s="51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</row>
    <row r="124" spans="1:71" x14ac:dyDescent="0.25">
      <c r="A124" s="22"/>
      <c r="B124" s="7"/>
      <c r="C124" s="82"/>
      <c r="D124" s="22"/>
      <c r="E124" s="108"/>
      <c r="F124" s="6"/>
      <c r="G124" s="82"/>
      <c r="H124" s="60" t="s">
        <v>215</v>
      </c>
      <c r="I124" s="39"/>
      <c r="J124" s="7"/>
      <c r="K124" s="96"/>
      <c r="L124" s="22"/>
      <c r="M124" s="22"/>
      <c r="N124" s="22"/>
      <c r="O124" s="22"/>
      <c r="P124" s="22"/>
      <c r="Q124" s="22"/>
      <c r="R124" s="22"/>
      <c r="S124" s="49">
        <v>0.1</v>
      </c>
      <c r="T124">
        <v>0.82</v>
      </c>
      <c r="U124">
        <v>0.91</v>
      </c>
      <c r="V124">
        <v>0.97</v>
      </c>
      <c r="W124">
        <v>1</v>
      </c>
      <c r="X124">
        <v>1</v>
      </c>
      <c r="Y124">
        <v>0.97</v>
      </c>
      <c r="Z124">
        <v>0.92</v>
      </c>
      <c r="AA124">
        <v>0.83</v>
      </c>
      <c r="AB124">
        <v>0.72</v>
      </c>
      <c r="AC124">
        <v>0.59</v>
      </c>
      <c r="AD124">
        <v>0.44</v>
      </c>
      <c r="AE124">
        <v>0.27</v>
      </c>
      <c r="AF124">
        <v>0.1</v>
      </c>
      <c r="AG124" s="22"/>
      <c r="AH124" s="22"/>
      <c r="AI124" s="22"/>
      <c r="AJ124" s="22"/>
      <c r="AK124" s="22"/>
      <c r="AL124" s="22"/>
      <c r="AM124" s="22"/>
      <c r="AN124" s="22"/>
      <c r="AO124" s="22"/>
      <c r="AP124" s="51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</row>
    <row r="125" spans="1:71" x14ac:dyDescent="0.25">
      <c r="A125" s="22"/>
      <c r="B125" s="22"/>
      <c r="C125" s="22"/>
      <c r="D125" s="22"/>
      <c r="E125" s="22"/>
      <c r="F125" s="71"/>
      <c r="G125" s="82"/>
      <c r="H125" s="110"/>
      <c r="I125" s="111"/>
      <c r="J125" s="7"/>
      <c r="K125" s="96"/>
      <c r="L125" s="22"/>
      <c r="M125" s="22"/>
      <c r="N125" s="22"/>
      <c r="O125" s="22"/>
      <c r="P125" s="22"/>
      <c r="Q125" s="22"/>
      <c r="R125" s="22"/>
      <c r="S125" s="49">
        <v>0</v>
      </c>
      <c r="T125">
        <v>0.87</v>
      </c>
      <c r="U125">
        <v>0.94</v>
      </c>
      <c r="V125">
        <v>0.98</v>
      </c>
      <c r="W125">
        <v>1</v>
      </c>
      <c r="X125">
        <v>0.98</v>
      </c>
      <c r="Y125">
        <v>0.94</v>
      </c>
      <c r="Z125">
        <v>0.87</v>
      </c>
      <c r="AA125">
        <v>0.77</v>
      </c>
      <c r="AB125">
        <v>0.64</v>
      </c>
      <c r="AC125">
        <v>0.5</v>
      </c>
      <c r="AD125">
        <v>0.34</v>
      </c>
      <c r="AE125">
        <v>0.17</v>
      </c>
      <c r="AF125">
        <v>0</v>
      </c>
      <c r="AG125" s="22"/>
      <c r="AH125" s="22"/>
      <c r="AI125" s="22"/>
      <c r="AJ125" s="22"/>
      <c r="AK125" s="22"/>
      <c r="AL125" s="22"/>
      <c r="AM125" s="22"/>
      <c r="AN125" s="22"/>
      <c r="AO125" s="22"/>
      <c r="AP125" s="51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</row>
    <row r="126" spans="1:71" x14ac:dyDescent="0.25">
      <c r="A126" s="22"/>
      <c r="B126" s="7"/>
      <c r="C126" s="7"/>
      <c r="D126" s="22"/>
      <c r="E126" s="7"/>
      <c r="F126" s="7"/>
      <c r="G126" s="7"/>
      <c r="H126" s="7"/>
      <c r="I126" s="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51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</row>
    <row r="127" spans="1:71" x14ac:dyDescent="0.25">
      <c r="A127" s="22"/>
      <c r="B127" s="7"/>
      <c r="C127" s="10"/>
      <c r="D127" s="22"/>
      <c r="E127" s="7"/>
      <c r="F127" s="38"/>
      <c r="G127" s="40"/>
      <c r="H127" s="40"/>
      <c r="I127" s="10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51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</row>
    <row r="128" spans="1:71" x14ac:dyDescent="0.25">
      <c r="A128" s="22"/>
      <c r="B128" s="7"/>
      <c r="C128" s="10"/>
      <c r="D128" s="22"/>
      <c r="E128" s="7"/>
      <c r="F128" s="40"/>
      <c r="G128" s="38"/>
      <c r="H128" s="40"/>
      <c r="I128" s="10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51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</row>
    <row r="129" spans="1:71" x14ac:dyDescent="0.25">
      <c r="A129" s="22"/>
      <c r="B129" s="7"/>
      <c r="C129" s="10"/>
      <c r="D129" s="22"/>
      <c r="E129" s="7"/>
      <c r="F129" s="38"/>
      <c r="G129" s="40"/>
      <c r="H129" s="40"/>
      <c r="I129" s="10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51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</row>
    <row r="130" spans="1:71" x14ac:dyDescent="0.25">
      <c r="A130" s="22"/>
      <c r="B130" s="22"/>
      <c r="C130" s="22"/>
      <c r="D130" s="22"/>
      <c r="E130" s="7"/>
      <c r="F130" s="40"/>
      <c r="G130" s="38"/>
      <c r="H130" s="40"/>
      <c r="I130" s="10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51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</row>
    <row r="131" spans="1:71" x14ac:dyDescent="0.25">
      <c r="A131" s="22"/>
      <c r="B131" s="7"/>
      <c r="C131" s="7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51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</row>
    <row r="132" spans="1:71" x14ac:dyDescent="0.25">
      <c r="A132" s="22"/>
      <c r="B132" s="22"/>
      <c r="C132" s="7"/>
      <c r="D132" s="7"/>
      <c r="E132" s="7"/>
      <c r="F132" s="7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51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</row>
    <row r="133" spans="1:71" x14ac:dyDescent="0.25">
      <c r="A133" s="22"/>
      <c r="B133" s="7"/>
      <c r="C133" s="40"/>
      <c r="D133" s="41"/>
      <c r="E133" s="37"/>
      <c r="F133" s="37"/>
      <c r="G133" s="10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51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</row>
    <row r="134" spans="1:71" x14ac:dyDescent="0.25">
      <c r="A134" s="22"/>
      <c r="B134" s="7"/>
      <c r="C134" s="40"/>
      <c r="D134" s="41"/>
      <c r="E134" s="37"/>
      <c r="F134" s="37"/>
      <c r="G134" s="10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51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</row>
    <row r="135" spans="1:71" x14ac:dyDescent="0.25">
      <c r="A135" s="22"/>
      <c r="B135" s="7"/>
      <c r="C135" s="40"/>
      <c r="D135" s="41"/>
      <c r="E135" s="38"/>
      <c r="F135" s="38"/>
      <c r="G135" s="10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51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</row>
    <row r="136" spans="1:7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51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</row>
    <row r="137" spans="1:71" x14ac:dyDescent="0.25">
      <c r="A137" s="22"/>
      <c r="B137" s="6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51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</row>
    <row r="138" spans="1:71" x14ac:dyDescent="0.25">
      <c r="A138" s="22"/>
      <c r="B138" s="6"/>
      <c r="C138" s="7"/>
      <c r="D138" s="7"/>
      <c r="E138" s="7"/>
      <c r="F138" s="7"/>
      <c r="G138" s="7"/>
      <c r="H138" s="7"/>
      <c r="I138" s="7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51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</row>
    <row r="139" spans="1:71" x14ac:dyDescent="0.25">
      <c r="A139" s="22"/>
      <c r="B139" s="6"/>
      <c r="C139" s="82"/>
      <c r="D139" s="82"/>
      <c r="E139" s="82"/>
      <c r="F139" s="82"/>
      <c r="G139" s="82"/>
      <c r="H139" s="82"/>
      <c r="I139" s="8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51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</row>
    <row r="140" spans="1:71" x14ac:dyDescent="0.25">
      <c r="A140" s="22"/>
      <c r="B140" s="6"/>
      <c r="C140" s="102">
        <v>0</v>
      </c>
      <c r="D140" s="102">
        <v>0</v>
      </c>
      <c r="E140" s="102">
        <v>0</v>
      </c>
      <c r="F140" s="102">
        <v>0</v>
      </c>
      <c r="G140" s="102">
        <v>0</v>
      </c>
      <c r="H140" s="102">
        <v>0</v>
      </c>
      <c r="I140" s="102">
        <v>0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51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</row>
    <row r="141" spans="1:71" x14ac:dyDescent="0.25">
      <c r="A141" s="22"/>
      <c r="B141" s="6"/>
      <c r="C141" s="39"/>
      <c r="D141" s="39"/>
      <c r="E141" s="39"/>
      <c r="F141" s="39"/>
      <c r="G141" s="39"/>
      <c r="H141" s="39"/>
      <c r="I141" s="39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51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</row>
    <row r="142" spans="1:71" x14ac:dyDescent="0.25">
      <c r="A142" s="22"/>
      <c r="B142" s="6"/>
      <c r="C142" s="5"/>
      <c r="D142" s="5"/>
      <c r="E142" s="5"/>
      <c r="F142" s="5"/>
      <c r="G142" s="5"/>
      <c r="H142" s="5"/>
      <c r="I142" s="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51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</row>
    <row r="143" spans="1:71" x14ac:dyDescent="0.25">
      <c r="A143" s="22"/>
      <c r="B143" s="4"/>
      <c r="C143" s="82"/>
      <c r="D143" s="82"/>
      <c r="E143" s="82"/>
      <c r="F143" s="82"/>
      <c r="G143" s="82"/>
      <c r="H143" s="82"/>
      <c r="I143" s="8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51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</row>
    <row r="144" spans="1:71" x14ac:dyDescent="0.25">
      <c r="A144" s="22"/>
      <c r="B144" s="6"/>
      <c r="C144" s="5"/>
      <c r="D144" s="5"/>
      <c r="E144" s="5"/>
      <c r="F144" s="5"/>
      <c r="G144" s="5"/>
      <c r="H144" s="5"/>
      <c r="I144" s="5"/>
      <c r="J144" s="7"/>
      <c r="K144" s="6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51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</row>
    <row r="145" spans="1:71" x14ac:dyDescent="0.25">
      <c r="A145" s="22"/>
      <c r="B145" s="6"/>
      <c r="C145" s="5"/>
      <c r="D145" s="5"/>
      <c r="E145" s="5"/>
      <c r="F145" s="5"/>
      <c r="G145" s="5"/>
      <c r="H145" s="5"/>
      <c r="I145" s="5"/>
      <c r="K145" s="5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51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</row>
    <row r="146" spans="1:7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51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</row>
    <row r="147" spans="1:71" x14ac:dyDescent="0.25">
      <c r="A147" s="22"/>
      <c r="B147" s="6"/>
      <c r="C147" s="7"/>
      <c r="D147" s="7"/>
      <c r="E147" s="7"/>
      <c r="F147" s="7"/>
      <c r="G147" s="7"/>
      <c r="H147" s="7"/>
      <c r="I147" s="7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51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</row>
    <row r="148" spans="1:71" x14ac:dyDescent="0.25">
      <c r="A148" s="22"/>
      <c r="B148" s="6"/>
      <c r="C148" s="82"/>
      <c r="D148" s="82"/>
      <c r="E148" s="82"/>
      <c r="F148" s="82"/>
      <c r="G148" s="82"/>
      <c r="H148" s="82"/>
      <c r="I148" s="8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51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</row>
    <row r="149" spans="1:71" x14ac:dyDescent="0.25">
      <c r="A149" s="22"/>
      <c r="B149" s="6"/>
      <c r="C149" s="102">
        <v>0</v>
      </c>
      <c r="D149" s="102">
        <v>0</v>
      </c>
      <c r="E149" s="102">
        <v>0</v>
      </c>
      <c r="F149" s="102">
        <v>0</v>
      </c>
      <c r="G149" s="102">
        <v>0</v>
      </c>
      <c r="H149" s="102">
        <v>0</v>
      </c>
      <c r="I149" s="102">
        <v>0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51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</row>
    <row r="150" spans="1:71" x14ac:dyDescent="0.25">
      <c r="A150" s="22"/>
      <c r="B150" s="6"/>
      <c r="C150" s="39"/>
      <c r="D150" s="39"/>
      <c r="E150" s="39"/>
      <c r="F150" s="39"/>
      <c r="G150" s="39"/>
      <c r="H150" s="39"/>
      <c r="I150" s="39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51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</row>
    <row r="151" spans="1:71" x14ac:dyDescent="0.25">
      <c r="A151" s="22"/>
      <c r="B151" s="6"/>
      <c r="C151" s="5"/>
      <c r="D151" s="5"/>
      <c r="E151" s="5"/>
      <c r="F151" s="5"/>
      <c r="G151" s="5"/>
      <c r="H151" s="5"/>
      <c r="I151" s="5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51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</row>
    <row r="152" spans="1:71" x14ac:dyDescent="0.25">
      <c r="A152" s="22"/>
      <c r="B152" s="4"/>
      <c r="C152" s="82"/>
      <c r="D152" s="82"/>
      <c r="E152" s="82"/>
      <c r="F152" s="82"/>
      <c r="G152" s="82"/>
      <c r="H152" s="82"/>
      <c r="I152" s="8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51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</row>
    <row r="153" spans="1:71" x14ac:dyDescent="0.25">
      <c r="A153" s="22"/>
      <c r="B153" s="6"/>
      <c r="C153" s="5"/>
      <c r="D153" s="5"/>
      <c r="E153" s="5"/>
      <c r="F153" s="5"/>
      <c r="G153" s="5"/>
      <c r="H153" s="5"/>
      <c r="I153" s="5"/>
      <c r="J153" s="7"/>
      <c r="K153" s="6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51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</row>
    <row r="154" spans="1:71" x14ac:dyDescent="0.25">
      <c r="A154" s="22"/>
      <c r="B154" s="6"/>
      <c r="C154" s="5"/>
      <c r="D154" s="5"/>
      <c r="E154" s="5"/>
      <c r="F154" s="5"/>
      <c r="G154" s="5"/>
      <c r="H154" s="5"/>
      <c r="I154" s="5"/>
      <c r="K154" s="5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51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</row>
    <row r="155" spans="1:7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51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</row>
    <row r="156" spans="1:71" x14ac:dyDescent="0.25">
      <c r="A156" s="22"/>
      <c r="B156" s="6"/>
      <c r="C156" s="7"/>
      <c r="D156" s="7"/>
      <c r="E156" s="7"/>
      <c r="F156" s="7"/>
      <c r="G156" s="7"/>
      <c r="H156" s="7"/>
      <c r="I156" s="7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51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</row>
    <row r="157" spans="1:71" x14ac:dyDescent="0.25">
      <c r="A157" s="22"/>
      <c r="B157" s="6"/>
      <c r="C157" s="82"/>
      <c r="D157" s="82"/>
      <c r="E157" s="82"/>
      <c r="F157" s="82"/>
      <c r="G157" s="82"/>
      <c r="H157" s="82"/>
      <c r="I157" s="8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51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</row>
    <row r="158" spans="1:71" x14ac:dyDescent="0.25">
      <c r="A158" s="22"/>
      <c r="B158" s="6"/>
      <c r="C158" s="102">
        <v>0</v>
      </c>
      <c r="D158" s="102">
        <v>0</v>
      </c>
      <c r="E158" s="102">
        <v>0</v>
      </c>
      <c r="F158" s="102">
        <v>0</v>
      </c>
      <c r="G158" s="102">
        <v>0</v>
      </c>
      <c r="H158" s="102">
        <v>0</v>
      </c>
      <c r="I158" s="102">
        <v>0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51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</row>
    <row r="159" spans="1:71" x14ac:dyDescent="0.25">
      <c r="A159" s="22"/>
      <c r="B159" s="6"/>
      <c r="C159" s="39"/>
      <c r="D159" s="39"/>
      <c r="E159" s="39"/>
      <c r="F159" s="39"/>
      <c r="G159" s="39"/>
      <c r="H159" s="39"/>
      <c r="I159" s="39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51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</row>
    <row r="160" spans="1:71" x14ac:dyDescent="0.25">
      <c r="A160" s="22"/>
      <c r="B160" s="6"/>
      <c r="C160" s="5"/>
      <c r="D160" s="5"/>
      <c r="E160" s="5"/>
      <c r="F160" s="5"/>
      <c r="G160" s="5"/>
      <c r="H160" s="5"/>
      <c r="I160" s="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51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</row>
    <row r="161" spans="1:71" x14ac:dyDescent="0.25">
      <c r="A161" s="22"/>
      <c r="B161" s="4"/>
      <c r="C161" s="82"/>
      <c r="D161" s="82"/>
      <c r="E161" s="82"/>
      <c r="F161" s="82"/>
      <c r="G161" s="82"/>
      <c r="H161" s="82"/>
      <c r="I161" s="8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51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</row>
    <row r="162" spans="1:71" x14ac:dyDescent="0.25">
      <c r="A162" s="22"/>
      <c r="B162" s="6"/>
      <c r="C162" s="5"/>
      <c r="D162" s="5"/>
      <c r="E162" s="5"/>
      <c r="F162" s="5"/>
      <c r="G162" s="5"/>
      <c r="H162" s="5"/>
      <c r="I162" s="5"/>
      <c r="J162" s="7"/>
      <c r="K162" s="6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51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</row>
    <row r="163" spans="1:71" x14ac:dyDescent="0.25">
      <c r="A163" s="22"/>
      <c r="B163" s="6"/>
      <c r="C163" s="5"/>
      <c r="D163" s="5"/>
      <c r="E163" s="5"/>
      <c r="F163" s="5"/>
      <c r="G163" s="5"/>
      <c r="H163" s="5"/>
      <c r="I163" s="5"/>
      <c r="K163" s="5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51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</row>
    <row r="164" spans="1:7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51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</row>
    <row r="165" spans="1:71" x14ac:dyDescent="0.25">
      <c r="A165" s="22"/>
      <c r="B165" s="6"/>
      <c r="C165" s="7"/>
      <c r="D165" s="7"/>
      <c r="E165" s="7"/>
      <c r="F165" s="7"/>
      <c r="G165" s="7"/>
      <c r="H165" s="7"/>
      <c r="I165" s="7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51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</row>
    <row r="166" spans="1:71" x14ac:dyDescent="0.25">
      <c r="A166" s="22"/>
      <c r="B166" s="6"/>
      <c r="C166" s="82"/>
      <c r="D166" s="82"/>
      <c r="E166" s="82"/>
      <c r="F166" s="82"/>
      <c r="G166" s="82"/>
      <c r="H166" s="82"/>
      <c r="I166" s="8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51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</row>
    <row r="167" spans="1:71" x14ac:dyDescent="0.25">
      <c r="A167" s="22"/>
      <c r="B167" s="6"/>
      <c r="C167" s="102">
        <v>0</v>
      </c>
      <c r="D167" s="102">
        <v>0</v>
      </c>
      <c r="E167" s="102">
        <v>0</v>
      </c>
      <c r="F167" s="102">
        <v>0</v>
      </c>
      <c r="G167" s="102">
        <v>0</v>
      </c>
      <c r="H167" s="102">
        <v>0</v>
      </c>
      <c r="I167" s="102">
        <v>0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51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</row>
    <row r="168" spans="1:71" x14ac:dyDescent="0.25">
      <c r="A168" s="22"/>
      <c r="B168" s="6"/>
      <c r="C168" s="39"/>
      <c r="D168" s="39"/>
      <c r="E168" s="39"/>
      <c r="F168" s="39"/>
      <c r="G168" s="39"/>
      <c r="H168" s="39"/>
      <c r="I168" s="39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51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</row>
    <row r="169" spans="1:71" x14ac:dyDescent="0.25">
      <c r="A169" s="22"/>
      <c r="B169" s="6"/>
      <c r="C169" s="5"/>
      <c r="D169" s="5"/>
      <c r="E169" s="5"/>
      <c r="F169" s="5"/>
      <c r="G169" s="5"/>
      <c r="H169" s="5"/>
      <c r="I169" s="5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51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</row>
    <row r="170" spans="1:71" x14ac:dyDescent="0.25">
      <c r="A170" s="22"/>
      <c r="B170" s="4"/>
      <c r="C170" s="82"/>
      <c r="D170" s="82"/>
      <c r="E170" s="82"/>
      <c r="F170" s="82"/>
      <c r="G170" s="82"/>
      <c r="H170" s="82"/>
      <c r="I170" s="8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51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</row>
    <row r="171" spans="1:71" x14ac:dyDescent="0.25">
      <c r="A171" s="22"/>
      <c r="B171" s="6"/>
      <c r="C171" s="5"/>
      <c r="D171" s="5"/>
      <c r="E171" s="5"/>
      <c r="F171" s="5"/>
      <c r="G171" s="5"/>
      <c r="H171" s="5"/>
      <c r="I171" s="5"/>
      <c r="J171" s="7"/>
      <c r="K171" s="6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51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</row>
    <row r="172" spans="1:71" x14ac:dyDescent="0.25">
      <c r="A172" s="22"/>
      <c r="B172" s="6"/>
      <c r="C172" s="5"/>
      <c r="D172" s="5"/>
      <c r="E172" s="5"/>
      <c r="F172" s="5"/>
      <c r="G172" s="5"/>
      <c r="H172" s="5"/>
      <c r="I172" s="5"/>
      <c r="K172" s="5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</row>
    <row r="173" spans="1:7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</row>
    <row r="174" spans="1:71" x14ac:dyDescent="0.25">
      <c r="A174" s="22"/>
      <c r="B174" s="6"/>
      <c r="C174" s="7"/>
      <c r="D174" s="7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</row>
    <row r="175" spans="1:71" x14ac:dyDescent="0.25">
      <c r="A175" s="22"/>
      <c r="B175" s="22"/>
      <c r="C175" s="6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</row>
    <row r="176" spans="1:71" x14ac:dyDescent="0.25">
      <c r="A176" s="22"/>
      <c r="B176" s="6"/>
      <c r="C176" s="40"/>
      <c r="D176" s="40"/>
      <c r="E176" s="39"/>
      <c r="F176" s="38"/>
      <c r="G176" s="38"/>
      <c r="H176" s="38"/>
      <c r="I176" s="5"/>
      <c r="J176" s="5"/>
      <c r="K176" s="5"/>
      <c r="L176" s="10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</row>
    <row r="177" spans="1:71" x14ac:dyDescent="0.25">
      <c r="A177" s="22"/>
      <c r="B177" s="6"/>
      <c r="C177" s="40"/>
      <c r="D177" s="40"/>
      <c r="E177" s="39"/>
      <c r="F177" s="38"/>
      <c r="G177" s="38"/>
      <c r="H177" s="38"/>
      <c r="I177" s="5"/>
      <c r="J177" s="5"/>
      <c r="K177" s="5"/>
      <c r="L177" s="10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</row>
    <row r="178" spans="1:71" x14ac:dyDescent="0.25">
      <c r="A178" s="22"/>
      <c r="B178" s="6"/>
      <c r="C178" s="40"/>
      <c r="D178" s="40"/>
      <c r="E178" s="39"/>
      <c r="F178" s="100"/>
      <c r="G178" s="103"/>
      <c r="H178" s="10"/>
      <c r="I178" s="54"/>
      <c r="J178" s="5"/>
      <c r="K178" s="5"/>
      <c r="L178" s="10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</row>
    <row r="179" spans="1:71" x14ac:dyDescent="0.25">
      <c r="A179" s="22"/>
      <c r="B179" s="6"/>
      <c r="C179" s="40"/>
      <c r="D179" s="40"/>
      <c r="E179" s="39"/>
      <c r="F179" s="100"/>
      <c r="G179" s="103"/>
      <c r="H179" s="10"/>
      <c r="I179" s="54"/>
      <c r="J179" s="5"/>
      <c r="K179" s="5"/>
      <c r="L179" s="10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</row>
    <row r="180" spans="1:7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</row>
    <row r="181" spans="1:71" x14ac:dyDescent="0.25">
      <c r="A181" s="22"/>
      <c r="B181" s="6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</row>
    <row r="182" spans="1:71" x14ac:dyDescent="0.25">
      <c r="A182" s="22"/>
      <c r="B182" s="22"/>
      <c r="C182" s="6"/>
      <c r="D182" s="6"/>
      <c r="E182" s="6"/>
      <c r="F182" s="6"/>
      <c r="G182" s="6"/>
      <c r="H182" s="6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</row>
    <row r="183" spans="1:71" x14ac:dyDescent="0.25">
      <c r="A183" s="22"/>
      <c r="B183" s="6"/>
      <c r="C183" s="82"/>
      <c r="D183" s="103"/>
      <c r="E183" s="38"/>
      <c r="F183" s="82"/>
      <c r="G183" s="82"/>
      <c r="H183" s="5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</row>
    <row r="184" spans="1:71" x14ac:dyDescent="0.25">
      <c r="A184" s="22"/>
      <c r="B184" s="6"/>
      <c r="C184" s="82"/>
      <c r="D184" s="38"/>
      <c r="E184" s="103"/>
      <c r="F184" s="38"/>
      <c r="G184" s="38"/>
      <c r="H184" s="5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</row>
    <row r="185" spans="1:7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</row>
    <row r="186" spans="1:71" x14ac:dyDescent="0.25">
      <c r="A186" s="22"/>
      <c r="B186" s="6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</row>
    <row r="187" spans="1:71" x14ac:dyDescent="0.25">
      <c r="A187" s="22"/>
      <c r="B187" s="22"/>
      <c r="C187" s="6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</row>
    <row r="188" spans="1:71" x14ac:dyDescent="0.25">
      <c r="A188" s="22"/>
      <c r="B188" s="6"/>
      <c r="C188" s="109"/>
      <c r="D188" s="109"/>
      <c r="E188" s="39"/>
      <c r="F188" s="82"/>
      <c r="G188" s="54"/>
      <c r="H188" s="5"/>
      <c r="I188" s="82"/>
      <c r="K188" s="5"/>
      <c r="L188" s="54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</row>
    <row r="189" spans="1:71" x14ac:dyDescent="0.25">
      <c r="A189" s="22"/>
      <c r="B189" s="6"/>
      <c r="C189" s="109"/>
      <c r="D189" s="109"/>
      <c r="E189" s="39"/>
      <c r="F189" s="82"/>
      <c r="G189" s="54"/>
      <c r="H189" s="5"/>
      <c r="I189" s="82"/>
      <c r="K189" s="5"/>
      <c r="L189" s="54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</row>
    <row r="190" spans="1:7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</row>
    <row r="191" spans="1:71" x14ac:dyDescent="0.25">
      <c r="A191" s="22"/>
      <c r="B191" s="6"/>
      <c r="C191" s="7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</row>
    <row r="192" spans="1:71" x14ac:dyDescent="0.25">
      <c r="A192" s="22"/>
      <c r="B192" s="2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</row>
    <row r="193" spans="1:71" x14ac:dyDescent="0.25">
      <c r="A193" s="22"/>
      <c r="B193" s="6"/>
      <c r="C193" s="82"/>
      <c r="D193" s="82"/>
      <c r="E193" s="82"/>
      <c r="F193" s="82"/>
      <c r="G193" s="82"/>
      <c r="H193" s="39"/>
      <c r="I193" s="5"/>
      <c r="J193" s="7"/>
      <c r="K193" s="39"/>
      <c r="L193" s="5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</row>
    <row r="194" spans="1:71" x14ac:dyDescent="0.25">
      <c r="A194" s="22"/>
      <c r="B194" s="6"/>
      <c r="C194" s="82"/>
      <c r="D194" s="82"/>
      <c r="E194" s="82"/>
      <c r="F194" s="82"/>
      <c r="G194" s="82"/>
      <c r="H194" s="39"/>
      <c r="I194" s="5"/>
      <c r="J194" s="7"/>
      <c r="K194" s="39"/>
      <c r="L194" s="5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</row>
    <row r="195" spans="1:71" x14ac:dyDescent="0.25">
      <c r="A195" s="22"/>
      <c r="B195" s="6"/>
      <c r="C195" s="82"/>
      <c r="D195" s="82"/>
      <c r="E195" s="82"/>
      <c r="F195" s="82"/>
      <c r="G195" s="82"/>
      <c r="H195" s="39"/>
      <c r="I195" s="5"/>
      <c r="J195" s="7"/>
      <c r="K195" s="39"/>
      <c r="L195" s="5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</row>
    <row r="196" spans="1:71" x14ac:dyDescent="0.25">
      <c r="A196" s="22"/>
      <c r="B196" s="6"/>
      <c r="C196" s="82"/>
      <c r="D196" s="82"/>
      <c r="E196" s="82"/>
      <c r="F196" s="82"/>
      <c r="G196" s="82"/>
      <c r="H196" s="39"/>
      <c r="I196" s="5"/>
      <c r="J196" s="7"/>
      <c r="K196" s="39"/>
      <c r="L196" s="5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</row>
    <row r="197" spans="1:7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</row>
    <row r="198" spans="1:7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</row>
    <row r="199" spans="1:71" x14ac:dyDescent="0.25">
      <c r="A199" s="22"/>
      <c r="B199" s="107"/>
      <c r="C199" s="104"/>
      <c r="D199" s="22"/>
      <c r="E199" s="3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</row>
    <row r="200" spans="1:7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</row>
    <row r="201" spans="1:71" x14ac:dyDescent="0.25">
      <c r="A201" s="22"/>
      <c r="B201" s="7"/>
      <c r="C201" s="22"/>
      <c r="D201" s="7"/>
      <c r="E201" s="22"/>
      <c r="F201" s="7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</row>
    <row r="202" spans="1:71" x14ac:dyDescent="0.25">
      <c r="A202" s="22"/>
      <c r="B202" s="22"/>
      <c r="C202" s="22"/>
      <c r="D202" s="22"/>
      <c r="E202" s="22"/>
      <c r="F202" s="22"/>
      <c r="G202" s="7"/>
      <c r="H202" s="7"/>
      <c r="I202" s="7"/>
      <c r="J202" s="7"/>
      <c r="K202" s="6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</row>
    <row r="203" spans="1:71" x14ac:dyDescent="0.25">
      <c r="A203" s="22"/>
      <c r="B203" s="7"/>
      <c r="C203" s="82"/>
      <c r="D203" s="7"/>
      <c r="E203" s="82"/>
      <c r="F203" s="7"/>
      <c r="G203" s="82"/>
      <c r="H203" s="60" t="s">
        <v>215</v>
      </c>
      <c r="I203" s="39"/>
      <c r="J203" s="7"/>
      <c r="K203" s="96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</row>
    <row r="204" spans="1:71" x14ac:dyDescent="0.25">
      <c r="A204" s="22"/>
      <c r="B204" s="7"/>
      <c r="C204" s="82"/>
      <c r="D204" s="7"/>
      <c r="E204" s="82"/>
      <c r="F204" s="7"/>
      <c r="G204" s="82"/>
      <c r="H204" s="60" t="s">
        <v>215</v>
      </c>
      <c r="I204" s="39"/>
      <c r="J204" s="7"/>
      <c r="K204" s="96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</row>
    <row r="205" spans="1:71" x14ac:dyDescent="0.25">
      <c r="A205" s="22"/>
      <c r="B205" s="7"/>
      <c r="C205" s="73"/>
      <c r="D205" s="7"/>
      <c r="E205" s="82"/>
      <c r="F205" s="7"/>
      <c r="G205" s="82"/>
      <c r="H205" s="60" t="s">
        <v>215</v>
      </c>
      <c r="I205" s="39"/>
      <c r="J205" s="7"/>
      <c r="K205" s="96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</row>
    <row r="206" spans="1:71" x14ac:dyDescent="0.25">
      <c r="A206" s="22"/>
      <c r="B206" s="7"/>
      <c r="C206" s="82"/>
      <c r="D206" s="7"/>
      <c r="E206" s="82"/>
      <c r="F206" s="7"/>
      <c r="G206" s="82"/>
      <c r="H206" s="60" t="s">
        <v>215</v>
      </c>
      <c r="I206" s="39"/>
      <c r="J206" s="7"/>
      <c r="K206" s="96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</row>
    <row r="207" spans="1:71" x14ac:dyDescent="0.25">
      <c r="A207" s="22"/>
      <c r="B207" s="7"/>
      <c r="C207" s="67"/>
      <c r="D207" s="35"/>
      <c r="E207" s="82"/>
      <c r="F207" s="7"/>
      <c r="G207" s="82"/>
      <c r="H207" s="60" t="s">
        <v>215</v>
      </c>
      <c r="I207" s="39"/>
      <c r="J207" s="7"/>
      <c r="K207" s="96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</row>
    <row r="208" spans="1:71" x14ac:dyDescent="0.25">
      <c r="A208" s="22"/>
      <c r="B208" s="7"/>
      <c r="C208" s="82"/>
      <c r="D208" s="7"/>
      <c r="E208" s="82"/>
      <c r="F208" s="7"/>
      <c r="G208" s="82"/>
      <c r="H208" s="60" t="s">
        <v>215</v>
      </c>
      <c r="I208" s="39"/>
      <c r="J208" s="7"/>
      <c r="K208" s="96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</row>
    <row r="209" spans="1:71" x14ac:dyDescent="0.25">
      <c r="A209" s="22"/>
      <c r="B209" s="7"/>
      <c r="C209" s="82"/>
      <c r="D209" s="35"/>
      <c r="E209" s="82"/>
      <c r="F209" s="7"/>
      <c r="G209" s="82"/>
      <c r="H209" s="60" t="s">
        <v>215</v>
      </c>
      <c r="I209" s="39"/>
      <c r="J209" s="7"/>
      <c r="K209" s="96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</row>
    <row r="210" spans="1:71" x14ac:dyDescent="0.25">
      <c r="A210" s="22"/>
      <c r="B210" s="7"/>
      <c r="C210" s="82"/>
      <c r="D210" s="7"/>
      <c r="E210" s="82"/>
      <c r="F210" s="7"/>
      <c r="G210" s="82"/>
      <c r="H210" s="60" t="s">
        <v>215</v>
      </c>
      <c r="I210" s="39"/>
      <c r="J210" s="7"/>
      <c r="K210" s="96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</row>
    <row r="211" spans="1:7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</row>
    <row r="212" spans="1:71" x14ac:dyDescent="0.25">
      <c r="A212" s="22"/>
      <c r="B212" s="7"/>
      <c r="C212" s="7"/>
      <c r="D212" s="22"/>
      <c r="E212" s="7"/>
      <c r="F212" s="7"/>
      <c r="G212" s="7"/>
      <c r="H212" s="7"/>
      <c r="I212" s="7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</row>
    <row r="213" spans="1:71" x14ac:dyDescent="0.25">
      <c r="A213" s="22"/>
      <c r="B213" s="7"/>
      <c r="C213" s="10"/>
      <c r="D213" s="22"/>
      <c r="E213" s="7"/>
      <c r="F213" s="38"/>
      <c r="G213" s="40"/>
      <c r="H213" s="40"/>
      <c r="I213" s="10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</row>
    <row r="214" spans="1:71" x14ac:dyDescent="0.25">
      <c r="A214" s="22"/>
      <c r="B214" s="7"/>
      <c r="C214" s="10"/>
      <c r="D214" s="22"/>
      <c r="E214" s="7"/>
      <c r="F214" s="40"/>
      <c r="G214" s="38"/>
      <c r="H214" s="40"/>
      <c r="I214" s="10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</row>
    <row r="215" spans="1:71" x14ac:dyDescent="0.25">
      <c r="A215" s="22"/>
      <c r="B215" s="7"/>
      <c r="C215" s="10"/>
      <c r="D215" s="22"/>
      <c r="E215" s="7"/>
      <c r="F215" s="38"/>
      <c r="G215" s="40"/>
      <c r="H215" s="40"/>
      <c r="I215" s="10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</row>
    <row r="216" spans="1:71" x14ac:dyDescent="0.25">
      <c r="A216" s="22"/>
      <c r="B216" s="22"/>
      <c r="C216" s="22"/>
      <c r="D216" s="22"/>
      <c r="E216" s="7"/>
      <c r="F216" s="40"/>
      <c r="G216" s="38"/>
      <c r="H216" s="40"/>
      <c r="I216" s="10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</row>
    <row r="217" spans="1:71" x14ac:dyDescent="0.25">
      <c r="A217" s="22"/>
      <c r="B217" s="7"/>
      <c r="C217" s="7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</row>
    <row r="218" spans="1:71" x14ac:dyDescent="0.25">
      <c r="A218" s="22"/>
      <c r="B218" s="22"/>
      <c r="C218" s="7"/>
      <c r="D218" s="7"/>
      <c r="E218" s="7"/>
      <c r="F218" s="7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</row>
    <row r="219" spans="1:71" x14ac:dyDescent="0.25">
      <c r="A219" s="22"/>
      <c r="B219" s="7"/>
      <c r="C219" s="40"/>
      <c r="D219" s="41"/>
      <c r="E219" s="37"/>
      <c r="F219" s="37"/>
      <c r="G219" s="10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</row>
    <row r="220" spans="1:71" x14ac:dyDescent="0.25">
      <c r="A220" s="22"/>
      <c r="B220" s="7"/>
      <c r="C220" s="40"/>
      <c r="D220" s="41"/>
      <c r="E220" s="37"/>
      <c r="F220" s="37"/>
      <c r="G220" s="10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</row>
    <row r="221" spans="1:71" x14ac:dyDescent="0.25">
      <c r="A221" s="22"/>
      <c r="B221" s="7"/>
      <c r="C221" s="40"/>
      <c r="D221" s="41"/>
      <c r="E221" s="38"/>
      <c r="F221" s="38"/>
      <c r="G221" s="10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</row>
    <row r="222" spans="1:7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</row>
    <row r="223" spans="1:71" x14ac:dyDescent="0.25">
      <c r="A223" s="22"/>
      <c r="B223" s="6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</row>
    <row r="224" spans="1:71" x14ac:dyDescent="0.25">
      <c r="A224" s="22"/>
      <c r="B224" s="6"/>
      <c r="C224" s="7"/>
      <c r="D224" s="7"/>
      <c r="E224" s="7"/>
      <c r="F224" s="7"/>
      <c r="G224" s="7"/>
      <c r="H224" s="7"/>
      <c r="I224" s="7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</row>
    <row r="225" spans="1:71" x14ac:dyDescent="0.25">
      <c r="A225" s="22"/>
      <c r="B225" s="6"/>
      <c r="C225" s="102">
        <v>0</v>
      </c>
      <c r="D225" s="102">
        <v>0</v>
      </c>
      <c r="E225" s="102">
        <v>0</v>
      </c>
      <c r="F225" s="102">
        <v>0</v>
      </c>
      <c r="G225" s="102">
        <v>0</v>
      </c>
      <c r="H225" s="102">
        <v>0</v>
      </c>
      <c r="I225" s="102">
        <v>0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</row>
    <row r="226" spans="1:71" x14ac:dyDescent="0.25">
      <c r="A226" s="22"/>
      <c r="B226" s="6"/>
      <c r="C226" s="39"/>
      <c r="D226" s="39"/>
      <c r="E226" s="39"/>
      <c r="F226" s="39"/>
      <c r="G226" s="39"/>
      <c r="H226" s="39"/>
      <c r="I226" s="39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</row>
    <row r="227" spans="1:71" x14ac:dyDescent="0.25">
      <c r="A227" s="22"/>
      <c r="B227" s="6"/>
      <c r="C227" s="5"/>
      <c r="D227" s="5"/>
      <c r="E227" s="5"/>
      <c r="F227" s="5"/>
      <c r="G227" s="5"/>
      <c r="H227" s="5"/>
      <c r="I227" s="5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</row>
    <row r="228" spans="1:71" x14ac:dyDescent="0.25">
      <c r="A228" s="22"/>
      <c r="B228" s="4"/>
      <c r="C228" s="82"/>
      <c r="D228" s="82"/>
      <c r="E228" s="82"/>
      <c r="F228" s="82"/>
      <c r="G228" s="82"/>
      <c r="H228" s="82"/>
      <c r="I228" s="8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</row>
    <row r="229" spans="1:71" x14ac:dyDescent="0.25">
      <c r="A229" s="22"/>
      <c r="B229" s="6"/>
      <c r="C229" s="5"/>
      <c r="D229" s="5"/>
      <c r="E229" s="5"/>
      <c r="F229" s="5"/>
      <c r="G229" s="5"/>
      <c r="H229" s="5"/>
      <c r="I229" s="5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</row>
    <row r="230" spans="1:71" x14ac:dyDescent="0.25">
      <c r="A230" s="22"/>
      <c r="B230" s="6"/>
      <c r="C230" s="5"/>
      <c r="D230" s="5"/>
      <c r="E230" s="5"/>
      <c r="F230" s="5"/>
      <c r="G230" s="5"/>
      <c r="H230" s="5"/>
      <c r="I230" s="5"/>
      <c r="K230" s="5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</row>
    <row r="231" spans="1:71" x14ac:dyDescent="0.25">
      <c r="A231" s="22"/>
      <c r="B231" s="6"/>
      <c r="C231" s="82"/>
      <c r="D231" s="82"/>
      <c r="E231" s="82"/>
      <c r="F231" s="82"/>
      <c r="G231" s="82"/>
      <c r="H231" s="82"/>
      <c r="I231" s="82"/>
      <c r="J231" s="7"/>
      <c r="K231" s="6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</row>
    <row r="232" spans="1:71" x14ac:dyDescent="0.25">
      <c r="A232" s="22"/>
      <c r="B232" s="6"/>
      <c r="C232" s="5"/>
      <c r="D232" s="5"/>
      <c r="E232" s="5"/>
      <c r="F232" s="5"/>
      <c r="G232" s="5"/>
      <c r="H232" s="5"/>
      <c r="I232" s="5"/>
      <c r="K232" s="5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</row>
    <row r="233" spans="1:7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</row>
    <row r="234" spans="1:71" x14ac:dyDescent="0.25">
      <c r="A234" s="22"/>
      <c r="B234" s="6"/>
      <c r="C234" s="7"/>
      <c r="D234" s="7"/>
      <c r="E234" s="7"/>
      <c r="F234" s="7"/>
      <c r="G234" s="7"/>
      <c r="H234" s="7"/>
      <c r="I234" s="7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</row>
    <row r="235" spans="1:71" x14ac:dyDescent="0.25">
      <c r="A235" s="22"/>
      <c r="B235" s="6"/>
      <c r="C235" s="102">
        <v>0</v>
      </c>
      <c r="D235" s="102">
        <v>0</v>
      </c>
      <c r="E235" s="102">
        <v>0</v>
      </c>
      <c r="F235" s="102">
        <v>0</v>
      </c>
      <c r="G235" s="102">
        <v>0</v>
      </c>
      <c r="H235" s="102">
        <v>0</v>
      </c>
      <c r="I235" s="102">
        <v>0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</row>
    <row r="236" spans="1:71" x14ac:dyDescent="0.25">
      <c r="A236" s="22"/>
      <c r="B236" s="6"/>
      <c r="C236" s="39"/>
      <c r="D236" s="39"/>
      <c r="E236" s="39"/>
      <c r="F236" s="39"/>
      <c r="G236" s="39"/>
      <c r="H236" s="39"/>
      <c r="I236" s="39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</row>
    <row r="237" spans="1:71" x14ac:dyDescent="0.25">
      <c r="A237" s="22"/>
      <c r="B237" s="6"/>
      <c r="C237" s="5"/>
      <c r="D237" s="5"/>
      <c r="E237" s="5"/>
      <c r="F237" s="5"/>
      <c r="G237" s="5"/>
      <c r="H237" s="5"/>
      <c r="I237" s="5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</row>
    <row r="238" spans="1:71" x14ac:dyDescent="0.25">
      <c r="A238" s="22"/>
      <c r="B238" s="4"/>
      <c r="C238" s="82"/>
      <c r="D238" s="82"/>
      <c r="E238" s="82"/>
      <c r="F238" s="82"/>
      <c r="G238" s="82"/>
      <c r="H238" s="82"/>
      <c r="I238" s="8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</row>
    <row r="239" spans="1:71" x14ac:dyDescent="0.25">
      <c r="A239" s="22"/>
      <c r="B239" s="6"/>
      <c r="C239" s="5"/>
      <c r="D239" s="5"/>
      <c r="E239" s="5"/>
      <c r="F239" s="5"/>
      <c r="G239" s="5"/>
      <c r="H239" s="5"/>
      <c r="I239" s="5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</row>
    <row r="240" spans="1:71" x14ac:dyDescent="0.25">
      <c r="A240" s="22"/>
      <c r="B240" s="6"/>
      <c r="C240" s="5"/>
      <c r="D240" s="5"/>
      <c r="E240" s="5"/>
      <c r="F240" s="5"/>
      <c r="G240" s="5"/>
      <c r="H240" s="5"/>
      <c r="I240" s="5"/>
      <c r="K240" s="5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</row>
    <row r="241" spans="1:71" x14ac:dyDescent="0.25">
      <c r="A241" s="22"/>
      <c r="B241" s="6"/>
      <c r="C241" s="82"/>
      <c r="D241" s="82"/>
      <c r="E241" s="82"/>
      <c r="F241" s="82"/>
      <c r="G241" s="82"/>
      <c r="H241" s="82"/>
      <c r="I241" s="82"/>
      <c r="J241" s="7"/>
      <c r="K241" s="6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</row>
    <row r="242" spans="1:71" x14ac:dyDescent="0.25">
      <c r="A242" s="22"/>
      <c r="B242" s="6"/>
      <c r="C242" s="5"/>
      <c r="D242" s="5"/>
      <c r="E242" s="5"/>
      <c r="F242" s="5"/>
      <c r="G242" s="5"/>
      <c r="H242" s="5"/>
      <c r="I242" s="5"/>
      <c r="K242" s="5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</row>
    <row r="243" spans="1:7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</row>
    <row r="244" spans="1:71" x14ac:dyDescent="0.25">
      <c r="A244" s="22"/>
      <c r="B244" s="6"/>
      <c r="C244" s="7"/>
      <c r="D244" s="7"/>
      <c r="E244" s="7"/>
      <c r="F244" s="7"/>
      <c r="G244" s="7"/>
      <c r="H244" s="7"/>
      <c r="I244" s="7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</row>
    <row r="245" spans="1:71" x14ac:dyDescent="0.25">
      <c r="A245" s="22"/>
      <c r="B245" s="6"/>
      <c r="C245" s="102">
        <v>0</v>
      </c>
      <c r="D245" s="102">
        <v>0</v>
      </c>
      <c r="E245" s="102">
        <v>0</v>
      </c>
      <c r="F245" s="102">
        <v>0</v>
      </c>
      <c r="G245" s="102">
        <v>0</v>
      </c>
      <c r="H245" s="102">
        <v>0</v>
      </c>
      <c r="I245" s="102">
        <v>0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</row>
    <row r="246" spans="1:71" x14ac:dyDescent="0.25">
      <c r="A246" s="22"/>
      <c r="B246" s="6"/>
      <c r="C246" s="39"/>
      <c r="D246" s="39"/>
      <c r="E246" s="39"/>
      <c r="F246" s="39"/>
      <c r="G246" s="39"/>
      <c r="H246" s="39"/>
      <c r="I246" s="39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</row>
    <row r="247" spans="1:71" x14ac:dyDescent="0.25">
      <c r="A247" s="22"/>
      <c r="B247" s="6"/>
      <c r="C247" s="5"/>
      <c r="D247" s="5"/>
      <c r="E247" s="5"/>
      <c r="F247" s="5"/>
      <c r="G247" s="5"/>
      <c r="H247" s="5"/>
      <c r="I247" s="5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</row>
    <row r="248" spans="1:71" x14ac:dyDescent="0.25">
      <c r="A248" s="22"/>
      <c r="B248" s="4"/>
      <c r="C248" s="82"/>
      <c r="D248" s="82"/>
      <c r="E248" s="82"/>
      <c r="F248" s="82"/>
      <c r="G248" s="82"/>
      <c r="H248" s="82"/>
      <c r="I248" s="8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</row>
    <row r="249" spans="1:71" x14ac:dyDescent="0.25">
      <c r="A249" s="22"/>
      <c r="B249" s="6"/>
      <c r="C249" s="5"/>
      <c r="D249" s="5"/>
      <c r="E249" s="5"/>
      <c r="F249" s="5"/>
      <c r="G249" s="5"/>
      <c r="H249" s="5"/>
      <c r="I249" s="5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</row>
    <row r="250" spans="1:71" x14ac:dyDescent="0.25">
      <c r="A250" s="22"/>
      <c r="B250" s="6"/>
      <c r="C250" s="39"/>
      <c r="D250" s="39"/>
      <c r="E250" s="39"/>
      <c r="F250" s="39"/>
      <c r="G250" s="39"/>
      <c r="H250" s="39"/>
      <c r="I250" s="39"/>
      <c r="J250" s="7"/>
      <c r="K250" s="6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</row>
    <row r="251" spans="1:71" x14ac:dyDescent="0.25">
      <c r="A251" s="22"/>
      <c r="B251" s="6"/>
      <c r="C251" s="5"/>
      <c r="D251" s="5"/>
      <c r="E251" s="5"/>
      <c r="F251" s="5"/>
      <c r="G251" s="5"/>
      <c r="H251" s="5"/>
      <c r="I251" s="5"/>
      <c r="K251" s="5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</row>
    <row r="252" spans="1:7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</row>
    <row r="253" spans="1:71" x14ac:dyDescent="0.25">
      <c r="A253" s="22"/>
      <c r="B253" s="6"/>
      <c r="C253" s="7"/>
      <c r="D253" s="7"/>
      <c r="E253" s="7"/>
      <c r="F253" s="7"/>
      <c r="G253" s="7"/>
      <c r="H253" s="7"/>
      <c r="I253" s="7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</row>
    <row r="254" spans="1:71" x14ac:dyDescent="0.25">
      <c r="A254" s="22"/>
      <c r="B254" s="6"/>
      <c r="C254" s="102">
        <v>0</v>
      </c>
      <c r="D254" s="102">
        <v>0</v>
      </c>
      <c r="E254" s="102">
        <v>0</v>
      </c>
      <c r="F254" s="102">
        <v>0</v>
      </c>
      <c r="G254" s="102">
        <v>0</v>
      </c>
      <c r="H254" s="102">
        <v>0</v>
      </c>
      <c r="I254" s="102">
        <v>0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</row>
    <row r="255" spans="1:71" x14ac:dyDescent="0.25">
      <c r="A255" s="22"/>
      <c r="B255" s="6"/>
      <c r="C255" s="39"/>
      <c r="D255" s="39"/>
      <c r="E255" s="39"/>
      <c r="F255" s="39"/>
      <c r="G255" s="39"/>
      <c r="H255" s="39"/>
      <c r="I255" s="39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</row>
    <row r="256" spans="1:71" x14ac:dyDescent="0.25">
      <c r="A256" s="22"/>
      <c r="B256" s="6"/>
      <c r="C256" s="5"/>
      <c r="D256" s="5"/>
      <c r="E256" s="5"/>
      <c r="F256" s="5"/>
      <c r="G256" s="5"/>
      <c r="H256" s="5"/>
      <c r="I256" s="5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</row>
    <row r="257" spans="1:71" x14ac:dyDescent="0.25">
      <c r="A257" s="22"/>
      <c r="B257" s="4"/>
      <c r="C257" s="82"/>
      <c r="D257" s="82"/>
      <c r="E257" s="82"/>
      <c r="F257" s="82"/>
      <c r="G257" s="82"/>
      <c r="H257" s="82"/>
      <c r="I257" s="8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</row>
    <row r="258" spans="1:71" x14ac:dyDescent="0.25">
      <c r="A258" s="22"/>
      <c r="B258" s="6"/>
      <c r="C258" s="5"/>
      <c r="D258" s="5"/>
      <c r="E258" s="5"/>
      <c r="F258" s="5"/>
      <c r="G258" s="5"/>
      <c r="H258" s="5"/>
      <c r="I258" s="5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</row>
    <row r="259" spans="1:71" x14ac:dyDescent="0.25">
      <c r="A259" s="22"/>
      <c r="B259" s="6"/>
      <c r="C259" s="39"/>
      <c r="D259" s="39"/>
      <c r="E259" s="39"/>
      <c r="F259" s="39"/>
      <c r="G259" s="39"/>
      <c r="H259" s="39"/>
      <c r="I259" s="39"/>
      <c r="J259" s="7"/>
      <c r="K259" s="6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</row>
    <row r="260" spans="1:71" x14ac:dyDescent="0.25">
      <c r="A260" s="22"/>
      <c r="B260" s="6"/>
      <c r="C260" s="5"/>
      <c r="D260" s="5"/>
      <c r="E260" s="5"/>
      <c r="F260" s="5"/>
      <c r="G260" s="5"/>
      <c r="H260" s="5"/>
      <c r="I260" s="5"/>
      <c r="K260" s="5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</row>
    <row r="261" spans="1:7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</row>
    <row r="262" spans="1:71" x14ac:dyDescent="0.25">
      <c r="A262" s="22"/>
      <c r="B262" s="6"/>
      <c r="C262" s="7"/>
      <c r="D262" s="7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</row>
    <row r="263" spans="1:71" x14ac:dyDescent="0.25">
      <c r="A263" s="22"/>
      <c r="B263" s="6"/>
      <c r="C263" s="6"/>
      <c r="D263" s="6"/>
      <c r="E263" s="6"/>
      <c r="F263" s="6"/>
      <c r="G263" s="6"/>
      <c r="H263" s="6"/>
      <c r="I263" s="6"/>
      <c r="J263" s="7"/>
      <c r="K263" s="6"/>
      <c r="L263" s="6"/>
      <c r="M263" s="6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</row>
    <row r="264" spans="1:71" x14ac:dyDescent="0.25">
      <c r="A264" s="22"/>
      <c r="B264" s="6"/>
      <c r="C264" s="40"/>
      <c r="D264" s="40"/>
      <c r="E264" s="39"/>
      <c r="F264" s="38"/>
      <c r="G264" s="38"/>
      <c r="H264" s="38"/>
      <c r="I264" s="54"/>
      <c r="J264" s="5"/>
      <c r="K264" s="5"/>
      <c r="L264" s="10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</row>
    <row r="265" spans="1:71" x14ac:dyDescent="0.25">
      <c r="A265" s="22"/>
      <c r="B265" s="6"/>
      <c r="C265" s="40"/>
      <c r="D265" s="40"/>
      <c r="E265" s="39"/>
      <c r="F265" s="38"/>
      <c r="G265" s="38"/>
      <c r="H265" s="38"/>
      <c r="I265" s="54"/>
      <c r="J265" s="5"/>
      <c r="K265" s="5"/>
      <c r="L265" s="10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</row>
    <row r="266" spans="1:71" x14ac:dyDescent="0.25">
      <c r="A266" s="22"/>
      <c r="B266" s="6"/>
      <c r="C266" s="40"/>
      <c r="D266" s="40"/>
      <c r="E266" s="39"/>
      <c r="F266" s="100"/>
      <c r="G266" s="103"/>
      <c r="H266" s="10"/>
      <c r="I266" s="54"/>
      <c r="J266" s="5"/>
      <c r="K266" s="5"/>
      <c r="L266" s="10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</row>
    <row r="267" spans="1:71" x14ac:dyDescent="0.25">
      <c r="A267" s="22"/>
      <c r="B267" s="6"/>
      <c r="C267" s="40"/>
      <c r="D267" s="40"/>
      <c r="E267" s="39"/>
      <c r="F267" s="100"/>
      <c r="G267" s="103"/>
      <c r="H267" s="10"/>
      <c r="I267" s="54"/>
      <c r="J267" s="5"/>
      <c r="K267" s="5"/>
      <c r="L267" s="10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</row>
    <row r="268" spans="1:71" x14ac:dyDescent="0.25">
      <c r="A268" s="22"/>
      <c r="B268" s="22"/>
      <c r="C268" s="22"/>
      <c r="D268" s="6"/>
      <c r="E268" s="6"/>
      <c r="F268" s="6"/>
      <c r="G268" s="6"/>
      <c r="H268" s="6"/>
      <c r="I268" s="6"/>
      <c r="J268" s="7"/>
      <c r="K268" s="6"/>
      <c r="L268" s="7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</row>
    <row r="269" spans="1:71" x14ac:dyDescent="0.25">
      <c r="A269" s="22"/>
      <c r="B269" s="6"/>
      <c r="C269" s="7"/>
      <c r="D269" s="40"/>
      <c r="E269" s="40"/>
      <c r="F269" s="39"/>
      <c r="G269" s="42"/>
      <c r="H269" s="54"/>
      <c r="I269" s="10"/>
      <c r="J269" s="2"/>
      <c r="K269" s="10"/>
      <c r="L269" s="5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</row>
    <row r="270" spans="1:71" x14ac:dyDescent="0.25">
      <c r="A270" s="22"/>
      <c r="B270" s="6"/>
      <c r="C270" s="7"/>
      <c r="D270" s="40"/>
      <c r="E270" s="40"/>
      <c r="F270" s="39"/>
      <c r="G270" s="54"/>
      <c r="H270" s="42"/>
      <c r="I270" s="10"/>
      <c r="J270" s="2"/>
      <c r="K270" s="10"/>
      <c r="L270" s="5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</row>
    <row r="271" spans="1:7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</row>
    <row r="272" spans="1:7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</row>
    <row r="273" spans="1:7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</row>
    <row r="274" spans="1:7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</row>
    <row r="275" spans="1:7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</row>
    <row r="276" spans="1:7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</row>
    <row r="277" spans="1:7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</row>
    <row r="278" spans="1:7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</row>
    <row r="279" spans="1:7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</row>
    <row r="280" spans="1:7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</row>
  </sheetData>
  <phoneticPr fontId="28" type="noConversion"/>
  <conditionalFormatting sqref="M28">
    <cfRule type="expression" dxfId="83" priority="90">
      <formula>AND($C$29&lt;&gt;0, $L$28&gt;0.3)</formula>
    </cfRule>
    <cfRule type="expression" dxfId="82" priority="91">
      <formula>AND($C$29&lt;&gt;0, $L$28&lt;0.3)</formula>
    </cfRule>
    <cfRule type="expression" dxfId="81" priority="92">
      <formula>$C$29=0</formula>
    </cfRule>
  </conditionalFormatting>
  <conditionalFormatting sqref="S5">
    <cfRule type="expression" dxfId="80" priority="96">
      <formula>$R$5=0</formula>
    </cfRule>
    <cfRule type="expression" dxfId="79" priority="97">
      <formula>AND($R$5&lt;=12, $R$5&lt;&gt;0)</formula>
    </cfRule>
    <cfRule type="expression" dxfId="78" priority="98">
      <formula>$R$5&gt;12</formula>
    </cfRule>
  </conditionalFormatting>
  <conditionalFormatting sqref="S10">
    <cfRule type="expression" dxfId="77" priority="93">
      <formula>AND($R$10&lt;0.075, $R$10&lt;&gt;0)</formula>
    </cfRule>
    <cfRule type="expression" dxfId="76" priority="94">
      <formula>$R$10&gt;0.075</formula>
    </cfRule>
    <cfRule type="expression" dxfId="75" priority="95">
      <formula>$R$10=0</formula>
    </cfRule>
  </conditionalFormatting>
  <conditionalFormatting sqref="M104:M105">
    <cfRule type="expression" dxfId="74" priority="80">
      <formula>OR($L104=0,$K104=0)</formula>
    </cfRule>
    <cfRule type="expression" dxfId="73" priority="81">
      <formula>$L104&lt;$K104</formula>
    </cfRule>
    <cfRule type="expression" dxfId="72" priority="82">
      <formula>$L104&gt;$K104</formula>
    </cfRule>
  </conditionalFormatting>
  <conditionalFormatting sqref="L109:L110 L269:L270">
    <cfRule type="expression" dxfId="71" priority="77">
      <formula>OR($K109=0,$I109=0)</formula>
    </cfRule>
    <cfRule type="expression" dxfId="70" priority="78">
      <formula>$K109&lt;$I109</formula>
    </cfRule>
    <cfRule type="expression" dxfId="69" priority="79">
      <formula>$K109&gt;$I109</formula>
    </cfRule>
  </conditionalFormatting>
  <conditionalFormatting sqref="M107">
    <cfRule type="expression" dxfId="68" priority="114">
      <formula>OR($L107=0,$K107=0)</formula>
    </cfRule>
    <cfRule type="expression" dxfId="67" priority="115">
      <formula>$L107&lt;$K107</formula>
    </cfRule>
    <cfRule type="expression" dxfId="66" priority="116">
      <formula>$L107&gt;$K107</formula>
    </cfRule>
  </conditionalFormatting>
  <conditionalFormatting sqref="M106">
    <cfRule type="expression" dxfId="65" priority="117">
      <formula>OR($L106=0,$K106=0)</formula>
    </cfRule>
    <cfRule type="expression" dxfId="64" priority="118">
      <formula>$L106&lt;$K106</formula>
    </cfRule>
    <cfRule type="expression" dxfId="63" priority="119">
      <formula>$L106&gt;$K106</formula>
    </cfRule>
  </conditionalFormatting>
  <conditionalFormatting sqref="P24 P25:Q25 P27:Q27">
    <cfRule type="expression" dxfId="62" priority="72">
      <formula>$Q$22="Cormorán"</formula>
    </cfRule>
  </conditionalFormatting>
  <conditionalFormatting sqref="Q24">
    <cfRule type="expression" dxfId="61" priority="75">
      <formula>$Q$22="Cormorán"</formula>
    </cfRule>
  </conditionalFormatting>
  <conditionalFormatting sqref="P27">
    <cfRule type="expression" dxfId="60" priority="73">
      <formula>OR(N27=0,Q27=0)</formula>
    </cfRule>
    <cfRule type="expression" dxfId="59" priority="74">
      <formula>AND(N27&gt;Q27,N27&lt;&gt;0,Q27&lt;&gt;0)</formula>
    </cfRule>
    <cfRule type="expression" dxfId="58" priority="76">
      <formula>AND(N27&lt;=Q27,N27&lt;&gt;0,Q27&lt;&gt;0)</formula>
    </cfRule>
  </conditionalFormatting>
  <conditionalFormatting sqref="R24:S27">
    <cfRule type="expression" dxfId="57" priority="65">
      <formula>$Q$22="Pt. Da Buitra"</formula>
    </cfRule>
  </conditionalFormatting>
  <conditionalFormatting sqref="P29:P30 P32:Q32">
    <cfRule type="expression" dxfId="56" priority="60">
      <formula>$Q$22="Cormorán"</formula>
    </cfRule>
  </conditionalFormatting>
  <conditionalFormatting sqref="P32">
    <cfRule type="expression" dxfId="55" priority="61">
      <formula>OR(N32=0,Q32=0)</formula>
    </cfRule>
    <cfRule type="expression" dxfId="54" priority="62">
      <formula>AND(N32&gt;Q32,N32&lt;&gt;0,Q32&lt;&gt;0)</formula>
    </cfRule>
    <cfRule type="expression" dxfId="53" priority="64">
      <formula>AND(N32&lt;=Q32,N32&lt;&gt;0,Q32&lt;&gt;0)</formula>
    </cfRule>
  </conditionalFormatting>
  <conditionalFormatting sqref="Q29:Q30">
    <cfRule type="expression" dxfId="52" priority="59">
      <formula>$Q$22="Cormorán"</formula>
    </cfRule>
  </conditionalFormatting>
  <conditionalFormatting sqref="R29:S29 R31:S32 R30">
    <cfRule type="expression" dxfId="51" priority="58">
      <formula>$Q$22="Pt. Da Buitra"</formula>
    </cfRule>
  </conditionalFormatting>
  <conditionalFormatting sqref="R34:S34">
    <cfRule type="expression" dxfId="50" priority="57">
      <formula>$Q$22="Pt. Da Buitra"</formula>
    </cfRule>
  </conditionalFormatting>
  <conditionalFormatting sqref="R34:S35">
    <cfRule type="expression" dxfId="49" priority="56">
      <formula>$Q$22="Pt. Da Buitra"</formula>
    </cfRule>
  </conditionalFormatting>
  <conditionalFormatting sqref="J176:J179">
    <cfRule type="expression" dxfId="48" priority="123">
      <formula>OR(#REF!=0,#REF!=0)</formula>
    </cfRule>
    <cfRule type="expression" dxfId="47" priority="124">
      <formula>#REF!&lt;#REF!</formula>
    </cfRule>
    <cfRule type="expression" dxfId="46" priority="125">
      <formula>#REF!&gt;#REF!</formula>
    </cfRule>
  </conditionalFormatting>
  <conditionalFormatting sqref="M176:M179">
    <cfRule type="expression" dxfId="45" priority="44">
      <formula>$L176&gt;$K176</formula>
    </cfRule>
    <cfRule type="expression" dxfId="44" priority="45">
      <formula>$L176&lt;$K176</formula>
    </cfRule>
    <cfRule type="expression" dxfId="43" priority="46">
      <formula>OR($L176=0,$K176=0)</formula>
    </cfRule>
  </conditionalFormatting>
  <conditionalFormatting sqref="J264:J267">
    <cfRule type="expression" dxfId="42" priority="41">
      <formula>OR(#REF!=0,#REF!=0)</formula>
    </cfRule>
    <cfRule type="expression" dxfId="41" priority="42">
      <formula>#REF!&lt;#REF!</formula>
    </cfRule>
    <cfRule type="expression" dxfId="40" priority="43">
      <formula>#REF!&gt;#REF!</formula>
    </cfRule>
  </conditionalFormatting>
  <conditionalFormatting sqref="M264:M267">
    <cfRule type="expression" dxfId="39" priority="38">
      <formula>$L264&gt;$K264</formula>
    </cfRule>
    <cfRule type="expression" dxfId="38" priority="39">
      <formula>$L264&lt;$K264</formula>
    </cfRule>
    <cfRule type="expression" dxfId="37" priority="40">
      <formula>OR($L264=0,$K264=0)</formula>
    </cfRule>
  </conditionalFormatting>
  <conditionalFormatting sqref="R37">
    <cfRule type="expression" dxfId="36" priority="34">
      <formula>$Q$22="Pt. Da Buitra"</formula>
    </cfRule>
  </conditionalFormatting>
  <conditionalFormatting sqref="R37">
    <cfRule type="expression" dxfId="35" priority="33">
      <formula>$Q$22="Pt. Da Buitra"</formula>
    </cfRule>
  </conditionalFormatting>
  <conditionalFormatting sqref="S37">
    <cfRule type="expression" dxfId="34" priority="32">
      <formula>$Q$22="Pt. Da Buitra"</formula>
    </cfRule>
  </conditionalFormatting>
  <conditionalFormatting sqref="S37">
    <cfRule type="expression" dxfId="33" priority="31">
      <formula>$Q$22="Pt. Da Buitra"</formula>
    </cfRule>
  </conditionalFormatting>
  <conditionalFormatting sqref="R38">
    <cfRule type="expression" dxfId="32" priority="30">
      <formula>$Q$22="Pt. Da Buitra"</formula>
    </cfRule>
  </conditionalFormatting>
  <conditionalFormatting sqref="S38">
    <cfRule type="expression" dxfId="31" priority="27">
      <formula>$Q$22="Pt. Da Buitra"</formula>
    </cfRule>
  </conditionalFormatting>
  <conditionalFormatting sqref="M188:M189">
    <cfRule type="expression" dxfId="30" priority="24">
      <formula>$L188&gt;$K188</formula>
    </cfRule>
    <cfRule type="expression" dxfId="29" priority="25">
      <formula>$L188&lt;$K188</formula>
    </cfRule>
    <cfRule type="expression" dxfId="28" priority="26">
      <formula>OR($L188=0,$K188=0)</formula>
    </cfRule>
  </conditionalFormatting>
  <conditionalFormatting sqref="R32">
    <cfRule type="expression" dxfId="27" priority="129">
      <formula>AND(N27&gt;S32,N27&lt;&gt;0,S32&lt;&gt;0)</formula>
    </cfRule>
    <cfRule type="expression" dxfId="26" priority="130">
      <formula>AND(N27&lt;=S32,N27&lt;&gt;0,S32&lt;&gt;0)</formula>
    </cfRule>
    <cfRule type="expression" dxfId="25" priority="131">
      <formula>OR(N27=0,S32=0)</formula>
    </cfRule>
  </conditionalFormatting>
  <conditionalFormatting sqref="R27">
    <cfRule type="expression" dxfId="24" priority="132">
      <formula>AND(N27&gt;S27,N32&lt;&gt;0,S27&lt;&gt;0)</formula>
    </cfRule>
    <cfRule type="expression" dxfId="23" priority="133">
      <formula>AND(N27&lt;=S27,N27&lt;&gt;0,S27&lt;&gt;0)</formula>
    </cfRule>
    <cfRule type="expression" dxfId="22" priority="134">
      <formula>OR(N27=0,S27=0)</formula>
    </cfRule>
  </conditionalFormatting>
  <conditionalFormatting sqref="C29">
    <cfRule type="expression" dxfId="21" priority="23">
      <formula>$Q$22="Pt. Da Buitra"</formula>
    </cfRule>
  </conditionalFormatting>
  <conditionalFormatting sqref="F29">
    <cfRule type="expression" dxfId="20" priority="22">
      <formula>$Q$22="Pt. Da Buitra"</formula>
    </cfRule>
  </conditionalFormatting>
  <conditionalFormatting sqref="L50">
    <cfRule type="expression" dxfId="19" priority="21">
      <formula>$Q$22="Pt. Da Buitra"</formula>
    </cfRule>
  </conditionalFormatting>
  <conditionalFormatting sqref="L50">
    <cfRule type="expression" dxfId="18" priority="20">
      <formula>$Q$22="Pt. Da Buitra"</formula>
    </cfRule>
  </conditionalFormatting>
  <conditionalFormatting sqref="P53">
    <cfRule type="expression" dxfId="17" priority="19">
      <formula>$Q$22="Pt. Da Buitra"</formula>
    </cfRule>
  </conditionalFormatting>
  <conditionalFormatting sqref="P53">
    <cfRule type="expression" dxfId="16" priority="18">
      <formula>$Q$22="Pt. Da Buitra"</formula>
    </cfRule>
  </conditionalFormatting>
  <conditionalFormatting sqref="I51">
    <cfRule type="expression" dxfId="15" priority="17">
      <formula>$I$48="-"</formula>
    </cfRule>
  </conditionalFormatting>
  <conditionalFormatting sqref="M51">
    <cfRule type="expression" dxfId="14" priority="16">
      <formula>$I$48="-"</formula>
    </cfRule>
  </conditionalFormatting>
  <conditionalFormatting sqref="I56">
    <cfRule type="expression" dxfId="13" priority="14">
      <formula>$I$48="-"</formula>
    </cfRule>
  </conditionalFormatting>
  <conditionalFormatting sqref="G57:P57">
    <cfRule type="expression" dxfId="12" priority="12">
      <formula>$P$48="0"</formula>
    </cfRule>
    <cfRule type="expression" dxfId="11" priority="13">
      <formula>$P$48="Ni Arr Ni Queb"</formula>
    </cfRule>
  </conditionalFormatting>
  <conditionalFormatting sqref="N41">
    <cfRule type="expression" dxfId="10" priority="11">
      <formula>$O$41="B1"</formula>
    </cfRule>
  </conditionalFormatting>
  <conditionalFormatting sqref="N42">
    <cfRule type="expression" dxfId="9" priority="10">
      <formula>$O$42="B2"</formula>
    </cfRule>
  </conditionalFormatting>
  <conditionalFormatting sqref="N43">
    <cfRule type="expression" dxfId="8" priority="9">
      <formula>$O$43="B3"</formula>
    </cfRule>
  </conditionalFormatting>
  <conditionalFormatting sqref="N44">
    <cfRule type="expression" dxfId="7" priority="8">
      <formula>$O$44="B4"</formula>
    </cfRule>
  </conditionalFormatting>
  <conditionalFormatting sqref="N45">
    <cfRule type="expression" dxfId="6" priority="7">
      <formula>$O$45="B5"</formula>
    </cfRule>
  </conditionalFormatting>
  <conditionalFormatting sqref="N34">
    <cfRule type="expression" dxfId="5" priority="6">
      <formula>$J$33="B1"</formula>
    </cfRule>
  </conditionalFormatting>
  <conditionalFormatting sqref="N35">
    <cfRule type="expression" dxfId="4" priority="5">
      <formula>$J$33="B2"</formula>
    </cfRule>
  </conditionalFormatting>
  <conditionalFormatting sqref="N36">
    <cfRule type="expression" dxfId="3" priority="4">
      <formula>$J$33="B3"</formula>
    </cfRule>
  </conditionalFormatting>
  <conditionalFormatting sqref="N37">
    <cfRule type="expression" dxfId="2" priority="3">
      <formula>$J$33="B4"</formula>
    </cfRule>
  </conditionalFormatting>
  <conditionalFormatting sqref="N38">
    <cfRule type="expression" dxfId="1" priority="2">
      <formula>$J$33="B5"</formula>
    </cfRule>
  </conditionalFormatting>
  <conditionalFormatting sqref="N39">
    <cfRule type="expression" dxfId="0" priority="1">
      <formula>$J$33="Dp2BrEr"</formula>
    </cfRule>
  </conditionalFormatting>
  <dataValidations count="33">
    <dataValidation type="list" allowBlank="1" showInputMessage="1" showErrorMessage="1" sqref="F1 C32 C36 H33 H36" xr:uid="{7D4735B2-8D79-4B00-A96D-4C91D3D761C1}">
      <formula1>"ft3,m3"</formula1>
    </dataValidation>
    <dataValidation type="list" allowBlank="1" showInputMessage="1" showErrorMessage="1" sqref="F3 C34:C35 C38 H34 H37" xr:uid="{8FA0BB7D-471F-4E86-BE82-5E8CF875B30F}">
      <formula1>"Tm,LT"</formula1>
    </dataValidation>
    <dataValidation type="list" allowBlank="1" showInputMessage="1" showErrorMessage="1" sqref="L5:L25 D41:D54" xr:uid="{795662A7-F737-49D1-9112-B2E6A9532EC8}">
      <formula1>$G$33:$G$37</formula1>
    </dataValidation>
    <dataValidation type="list" allowBlank="1" showInputMessage="1" showErrorMessage="1" sqref="M5:M25" xr:uid="{E5BAFC3E-361B-4590-96CF-BFA175D6F8B0}">
      <mc:AlternateContent xmlns:x12ac="http://schemas.microsoft.com/office/spreadsheetml/2011/1/ac" xmlns:mc="http://schemas.openxmlformats.org/markup-compatibility/2006">
        <mc:Choice Requires="x12ac">
          <x12ac:list>1,"1,12"</x12ac:list>
        </mc:Choice>
        <mc:Fallback>
          <formula1>"1,1,12"</formula1>
        </mc:Fallback>
      </mc:AlternateContent>
    </dataValidation>
    <dataValidation type="list" allowBlank="1" showInputMessage="1" showErrorMessage="1" sqref="E92:H92 B92" xr:uid="{8400DE0A-99E2-48D8-93C0-BF69AB198EDC}">
      <formula1>"Distinto, Igual"</formula1>
    </dataValidation>
    <dataValidation type="list" allowBlank="1" showInputMessage="1" showErrorMessage="1" sqref="F2 E60 E199" xr:uid="{7EC36E9C-EC4D-434C-8A32-5D2AC747548B}">
      <formula1>"Editar,Limpiar"</formula1>
    </dataValidation>
    <dataValidation type="list" allowBlank="1" showInputMessage="1" showErrorMessage="1" sqref="H117:H125 H203:H210" xr:uid="{7EAB6D52-8C1B-4386-BEFD-F0120A3B1C95}">
      <formula1>"Tm,KN,-"</formula1>
    </dataValidation>
    <dataValidation type="list" allowBlank="1" showInputMessage="1" showErrorMessage="1" sqref="Q22" xr:uid="{A00CF539-F430-421D-AD79-BC11F0ABDCC2}">
      <formula1>"Pt. Da Buitra,             Cormorán"</formula1>
    </dataValidation>
    <dataValidation type="list" allowBlank="1" showInputMessage="1" showErrorMessage="1" sqref="L43 I43 L45 I45" xr:uid="{F1DACC22-333B-4CD7-AB6D-83CBC9172A53}">
      <formula1>"Tm,m3,ft3,LT"</formula1>
    </dataValidation>
    <dataValidation type="list" allowBlank="1" showInputMessage="1" showErrorMessage="1" sqref="E123" xr:uid="{0A7D6FA4-9707-458E-A23D-68FD31D6BC87}">
      <formula1>"-,Si,No"</formula1>
    </dataValidation>
    <dataValidation type="list" allowBlank="1" showInputMessage="1" showErrorMessage="1" sqref="C225 C235 C245 C254" xr:uid="{5B5EE3A6-40E2-49CB-A957-F519687CCFD0}">
      <formula1>K$203:K$210</formula1>
    </dataValidation>
    <dataValidation type="list" allowBlank="1" showInputMessage="1" showErrorMessage="1" sqref="D225 D235 D245 D254" xr:uid="{413860BF-C3D2-4B6B-9308-CC0AC9ABF45E}">
      <formula1>K$203:K$210</formula1>
    </dataValidation>
    <dataValidation type="list" allowBlank="1" showInputMessage="1" showErrorMessage="1" sqref="E225 E235 E245 E254" xr:uid="{C2BECD88-4910-4B8B-9269-45F17FD9A7D7}">
      <formula1>K$203:K$210</formula1>
    </dataValidation>
    <dataValidation type="list" allowBlank="1" showInputMessage="1" showErrorMessage="1" sqref="F225 F235 F245 F254" xr:uid="{FBF6E21E-5354-46D3-9797-35D6200F3789}">
      <formula1>K$203:K$210</formula1>
    </dataValidation>
    <dataValidation type="list" allowBlank="1" showInputMessage="1" showErrorMessage="1" sqref="G225 G235 G245 G254" xr:uid="{F5227D8E-FBDD-4A4E-A60D-7C8E38D4925B}">
      <formula1>K$203:K$210</formula1>
    </dataValidation>
    <dataValidation type="list" allowBlank="1" showInputMessage="1" showErrorMessage="1" sqref="H225 H235 H245 H254" xr:uid="{AD130656-5BE0-4CF9-AE19-6CB0E844C2EA}">
      <formula1>K$203:K$210</formula1>
    </dataValidation>
    <dataValidation type="list" allowBlank="1" showInputMessage="1" showErrorMessage="1" sqref="I225 I235 I245 I254" xr:uid="{75A8BF49-1BEE-4C47-B480-9DE4820AF263}">
      <formula1>K$203:K$210</formula1>
    </dataValidation>
    <dataValidation type="list" allowBlank="1" showInputMessage="1" showErrorMessage="1" sqref="C140 C149 C158 C167" xr:uid="{65FC8F77-85F3-495B-9DA5-FF9F614DEEA1}">
      <formula1>K$117:K$125</formula1>
    </dataValidation>
    <dataValidation type="list" allowBlank="1" showInputMessage="1" showErrorMessage="1" sqref="D140 D149 D158 D167" xr:uid="{9058A711-060E-4E40-9A21-85FF26A96AB9}">
      <formula1>K$117:K$125</formula1>
    </dataValidation>
    <dataValidation type="list" allowBlank="1" showInputMessage="1" showErrorMessage="1" sqref="E140 E149 E158 E167" xr:uid="{08F17BA1-8CE9-4853-BA9A-97C85CA2ACBB}">
      <formula1>K$117:K$125</formula1>
    </dataValidation>
    <dataValidation type="list" allowBlank="1" showInputMessage="1" showErrorMessage="1" sqref="F140 F149 F158 F167" xr:uid="{CE15D213-A95B-4E58-871A-20F4DF7490D8}">
      <formula1>K$117:K$125</formula1>
    </dataValidation>
    <dataValidation type="list" allowBlank="1" showInputMessage="1" showErrorMessage="1" sqref="G140 G149 G158 G167" xr:uid="{E5982E46-C1BB-4A09-9427-C2AD31994CCF}">
      <formula1>K$117:K$125</formula1>
    </dataValidation>
    <dataValidation type="list" allowBlank="1" showInputMessage="1" showErrorMessage="1" sqref="H140 H149 H158 H167" xr:uid="{4EA848C5-9801-4CAF-B761-14CBC0149A25}">
      <formula1>K$117:K$125</formula1>
    </dataValidation>
    <dataValidation type="list" allowBlank="1" showInputMessage="1" showErrorMessage="1" sqref="I140 I149 I158 I167" xr:uid="{A4A73A65-B191-4963-9D79-C089BD66F3F2}">
      <formula1>K$117:K$125</formula1>
    </dataValidation>
    <dataValidation type="list" allowBlank="1" showInputMessage="1" showErrorMessage="1" sqref="I48" xr:uid="{C7FF0BEB-03A3-4B82-815E-E6611436189F}">
      <formula1>"Apopante, Aproante, -"</formula1>
    </dataValidation>
    <dataValidation type="list" allowBlank="1" showInputMessage="1" showErrorMessage="1" sqref="N48" xr:uid="{C62DD4B3-DF6E-4E16-B890-6D9F8F1C6874}">
      <formula1>"&gt;11m, &lt;11m, -"</formula1>
    </dataValidation>
    <dataValidation type="list" allowBlank="1" showInputMessage="1" showErrorMessage="1" sqref="P48" xr:uid="{1B8E9B02-B45E-4AFF-8FB6-B019BC539254}">
      <formula1>"Arrufo, Quebranto, Ni Arr Ni Queb"</formula1>
    </dataValidation>
    <dataValidation type="list" allowBlank="1" showInputMessage="1" showErrorMessage="1" sqref="O41" xr:uid="{519352C5-AC58-47A2-A533-074E8DD2290A}">
      <formula1>"B1,Full"</formula1>
    </dataValidation>
    <dataValidation type="list" allowBlank="1" showInputMessage="1" showErrorMessage="1" sqref="O42" xr:uid="{29FFC8C1-BA0F-45FA-9743-DD9C621ED559}">
      <formula1>"B2,Full"</formula1>
    </dataValidation>
    <dataValidation type="list" allowBlank="1" showInputMessage="1" showErrorMessage="1" sqref="O43" xr:uid="{6F6EF666-527E-4745-9365-C92E5186A59A}">
      <formula1>"B3,Full"</formula1>
    </dataValidation>
    <dataValidation type="list" allowBlank="1" showInputMessage="1" showErrorMessage="1" sqref="O44" xr:uid="{3DC826E7-2BD1-48C1-8FF3-7364856D4460}">
      <formula1>"B4,Full"</formula1>
    </dataValidation>
    <dataValidation type="list" allowBlank="1" showInputMessage="1" showErrorMessage="1" sqref="O45" xr:uid="{3C73C7BE-FE9E-4902-86EF-674A43F7B1F9}">
      <formula1>"B5,Full"</formula1>
    </dataValidation>
    <dataValidation type="list" allowBlank="1" showInputMessage="1" showErrorMessage="1" sqref="J33" xr:uid="{9FFA92F2-2EAA-4925-8755-8C780EA5294B}">
      <formula1>"B1,B2,B3,B4,B5,Dp2BrEr,lcg"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5AB4-FA67-4DC1-B590-2978F2316642}">
  <sheetPr codeName="Hoja4"/>
  <dimension ref="A1:P78"/>
  <sheetViews>
    <sheetView topLeftCell="A45" workbookViewId="0">
      <selection activeCell="P55" sqref="P55"/>
    </sheetView>
  </sheetViews>
  <sheetFormatPr baseColWidth="10" defaultRowHeight="13.2" x14ac:dyDescent="0.25"/>
  <sheetData>
    <row r="1" spans="1:16" x14ac:dyDescent="0.25">
      <c r="A1" s="47">
        <v>0.4</v>
      </c>
    </row>
    <row r="2" spans="1:16" x14ac:dyDescent="0.25">
      <c r="A2" t="s">
        <v>172</v>
      </c>
      <c r="B2" s="7">
        <v>-30</v>
      </c>
      <c r="C2" s="7">
        <v>-20</v>
      </c>
      <c r="D2" s="7">
        <v>-10</v>
      </c>
      <c r="E2" s="7">
        <v>0</v>
      </c>
      <c r="F2" s="7">
        <v>10</v>
      </c>
      <c r="G2" s="7">
        <v>20</v>
      </c>
      <c r="H2" s="7">
        <v>30</v>
      </c>
      <c r="I2" s="7">
        <v>40</v>
      </c>
      <c r="J2" s="7">
        <v>45</v>
      </c>
      <c r="K2" s="7">
        <v>50</v>
      </c>
      <c r="L2" s="7">
        <v>60</v>
      </c>
      <c r="M2" s="7">
        <v>70</v>
      </c>
      <c r="N2" s="7">
        <v>80</v>
      </c>
      <c r="O2" s="7">
        <v>90</v>
      </c>
      <c r="P2" t="s">
        <v>173</v>
      </c>
    </row>
    <row r="3" spans="1:16" x14ac:dyDescent="0.25">
      <c r="A3" s="49">
        <v>0</v>
      </c>
      <c r="B3" s="3" t="s">
        <v>143</v>
      </c>
      <c r="C3" s="3" t="s">
        <v>129</v>
      </c>
      <c r="D3" s="3" t="s">
        <v>105</v>
      </c>
      <c r="E3" s="3" t="s">
        <v>101</v>
      </c>
      <c r="F3" s="3" t="s">
        <v>174</v>
      </c>
      <c r="G3" s="3" t="s">
        <v>175</v>
      </c>
      <c r="H3" s="3" t="s">
        <v>176</v>
      </c>
      <c r="I3" s="3" t="s">
        <v>103</v>
      </c>
      <c r="J3" s="3" t="s">
        <v>123</v>
      </c>
      <c r="K3" s="3" t="s">
        <v>115</v>
      </c>
      <c r="L3" s="3" t="s">
        <v>177</v>
      </c>
      <c r="M3" s="3" t="s">
        <v>98</v>
      </c>
      <c r="N3" s="3" t="s">
        <v>147</v>
      </c>
      <c r="O3" s="3" t="s">
        <v>155</v>
      </c>
      <c r="P3" s="51">
        <v>90</v>
      </c>
    </row>
    <row r="4" spans="1:16" x14ac:dyDescent="0.25">
      <c r="A4" s="49">
        <v>10</v>
      </c>
      <c r="B4" s="3" t="s">
        <v>178</v>
      </c>
      <c r="C4" s="3" t="s">
        <v>131</v>
      </c>
      <c r="D4" s="3" t="s">
        <v>130</v>
      </c>
      <c r="E4" s="3" t="s">
        <v>113</v>
      </c>
      <c r="F4" s="3" t="s">
        <v>102</v>
      </c>
      <c r="G4" s="3" t="s">
        <v>179</v>
      </c>
      <c r="H4" s="3" t="s">
        <v>174</v>
      </c>
      <c r="I4" s="3" t="s">
        <v>180</v>
      </c>
      <c r="J4" s="3" t="s">
        <v>113</v>
      </c>
      <c r="K4" s="3" t="s">
        <v>122</v>
      </c>
      <c r="L4" s="3" t="s">
        <v>99</v>
      </c>
      <c r="M4" s="3" t="s">
        <v>128</v>
      </c>
      <c r="N4" s="3" t="s">
        <v>181</v>
      </c>
      <c r="O4" s="3" t="s">
        <v>155</v>
      </c>
      <c r="P4" s="51">
        <v>80</v>
      </c>
    </row>
    <row r="5" spans="1:16" x14ac:dyDescent="0.25">
      <c r="A5" s="49">
        <v>20</v>
      </c>
      <c r="B5" s="3" t="s">
        <v>182</v>
      </c>
      <c r="C5" s="3" t="s">
        <v>118</v>
      </c>
      <c r="D5" s="3" t="s">
        <v>117</v>
      </c>
      <c r="E5" s="3" t="s">
        <v>122</v>
      </c>
      <c r="F5" s="3" t="s">
        <v>123</v>
      </c>
      <c r="G5" s="3" t="s">
        <v>103</v>
      </c>
      <c r="H5" s="3" t="s">
        <v>180</v>
      </c>
      <c r="I5" s="3" t="s">
        <v>113</v>
      </c>
      <c r="J5" s="3" t="s">
        <v>115</v>
      </c>
      <c r="K5" s="3" t="s">
        <v>116</v>
      </c>
      <c r="L5" s="3" t="s">
        <v>112</v>
      </c>
      <c r="M5" s="3" t="s">
        <v>111</v>
      </c>
      <c r="N5" s="3" t="s">
        <v>181</v>
      </c>
      <c r="O5" s="3" t="s">
        <v>155</v>
      </c>
      <c r="P5" s="51">
        <v>70</v>
      </c>
    </row>
    <row r="6" spans="1:16" x14ac:dyDescent="0.25">
      <c r="A6" s="49">
        <v>30</v>
      </c>
      <c r="B6" s="3" t="s">
        <v>148</v>
      </c>
      <c r="C6" s="3" t="s">
        <v>183</v>
      </c>
      <c r="D6" s="3" t="s">
        <v>121</v>
      </c>
      <c r="E6" s="3" t="s">
        <v>106</v>
      </c>
      <c r="F6" s="3" t="s">
        <v>105</v>
      </c>
      <c r="G6" s="3" t="s">
        <v>115</v>
      </c>
      <c r="H6" s="3" t="s">
        <v>115</v>
      </c>
      <c r="I6" s="3" t="s">
        <v>105</v>
      </c>
      <c r="J6" s="3" t="s">
        <v>130</v>
      </c>
      <c r="K6" s="3" t="s">
        <v>117</v>
      </c>
      <c r="L6" s="3" t="s">
        <v>121</v>
      </c>
      <c r="M6" s="3" t="s">
        <v>143</v>
      </c>
      <c r="N6" s="3" t="s">
        <v>139</v>
      </c>
      <c r="O6" s="3" t="s">
        <v>155</v>
      </c>
      <c r="P6" s="51">
        <v>60</v>
      </c>
    </row>
    <row r="7" spans="1:16" x14ac:dyDescent="0.25">
      <c r="A7" s="49">
        <v>40</v>
      </c>
      <c r="B7" s="3" t="s">
        <v>127</v>
      </c>
      <c r="C7" s="3" t="s">
        <v>133</v>
      </c>
      <c r="D7" s="3" t="s">
        <v>183</v>
      </c>
      <c r="E7" s="3" t="s">
        <v>136</v>
      </c>
      <c r="F7" s="3" t="s">
        <v>112</v>
      </c>
      <c r="G7" s="3" t="s">
        <v>117</v>
      </c>
      <c r="H7" s="3" t="s">
        <v>117</v>
      </c>
      <c r="I7" s="3" t="s">
        <v>99</v>
      </c>
      <c r="J7" s="3" t="s">
        <v>112</v>
      </c>
      <c r="K7" s="3" t="s">
        <v>129</v>
      </c>
      <c r="L7" s="3" t="s">
        <v>126</v>
      </c>
      <c r="M7" s="3" t="s">
        <v>138</v>
      </c>
      <c r="N7" s="3" t="s">
        <v>184</v>
      </c>
      <c r="O7" s="3" t="s">
        <v>155</v>
      </c>
      <c r="P7" s="51">
        <v>50</v>
      </c>
    </row>
    <row r="8" spans="1:16" x14ac:dyDescent="0.25">
      <c r="A8" s="49">
        <v>50</v>
      </c>
      <c r="B8" s="3" t="s">
        <v>185</v>
      </c>
      <c r="C8" s="3" t="s">
        <v>109</v>
      </c>
      <c r="D8" s="3" t="s">
        <v>181</v>
      </c>
      <c r="E8" s="3" t="s">
        <v>138</v>
      </c>
      <c r="F8" s="3" t="s">
        <v>111</v>
      </c>
      <c r="G8" s="3" t="s">
        <v>186</v>
      </c>
      <c r="H8" s="3" t="s">
        <v>107</v>
      </c>
      <c r="I8" s="3" t="s">
        <v>118</v>
      </c>
      <c r="J8" s="3" t="s">
        <v>186</v>
      </c>
      <c r="K8" s="3" t="s">
        <v>98</v>
      </c>
      <c r="L8" s="3" t="s">
        <v>143</v>
      </c>
      <c r="M8" s="3" t="s">
        <v>119</v>
      </c>
      <c r="N8" s="3" t="s">
        <v>135</v>
      </c>
      <c r="O8" s="3" t="s">
        <v>155</v>
      </c>
      <c r="P8" s="51">
        <v>40</v>
      </c>
    </row>
    <row r="9" spans="1:16" x14ac:dyDescent="0.25">
      <c r="A9" s="49">
        <v>60</v>
      </c>
      <c r="B9" s="3" t="s">
        <v>170</v>
      </c>
      <c r="C9" s="3" t="s">
        <v>162</v>
      </c>
      <c r="D9" s="3" t="s">
        <v>154</v>
      </c>
      <c r="E9" s="3" t="s">
        <v>142</v>
      </c>
      <c r="F9" s="3" t="s">
        <v>181</v>
      </c>
      <c r="G9" s="3" t="s">
        <v>182</v>
      </c>
      <c r="H9" s="3" t="s">
        <v>188</v>
      </c>
      <c r="I9" s="3" t="s">
        <v>138</v>
      </c>
      <c r="J9" s="3" t="s">
        <v>138</v>
      </c>
      <c r="K9" s="3" t="s">
        <v>188</v>
      </c>
      <c r="L9" s="3" t="s">
        <v>119</v>
      </c>
      <c r="M9" s="3" t="s">
        <v>148</v>
      </c>
      <c r="N9" s="3" t="s">
        <v>189</v>
      </c>
      <c r="O9" s="3" t="s">
        <v>155</v>
      </c>
      <c r="P9" s="51">
        <v>30</v>
      </c>
    </row>
    <row r="10" spans="1:16" x14ac:dyDescent="0.25">
      <c r="A10" s="49">
        <v>70</v>
      </c>
      <c r="B10" s="3" t="s">
        <v>167</v>
      </c>
      <c r="C10" s="3" t="s">
        <v>190</v>
      </c>
      <c r="D10" s="3" t="s">
        <v>161</v>
      </c>
      <c r="E10" s="3" t="s">
        <v>152</v>
      </c>
      <c r="F10" s="3" t="s">
        <v>141</v>
      </c>
      <c r="G10" s="3" t="s">
        <v>127</v>
      </c>
      <c r="H10" s="3" t="s">
        <v>142</v>
      </c>
      <c r="I10" s="3" t="s">
        <v>191</v>
      </c>
      <c r="J10" s="3" t="s">
        <v>191</v>
      </c>
      <c r="K10" s="3" t="s">
        <v>184</v>
      </c>
      <c r="L10" s="3" t="s">
        <v>191</v>
      </c>
      <c r="M10" s="3" t="s">
        <v>192</v>
      </c>
      <c r="N10" s="3" t="s">
        <v>134</v>
      </c>
      <c r="O10" s="3" t="s">
        <v>155</v>
      </c>
      <c r="P10" s="51">
        <v>20</v>
      </c>
    </row>
    <row r="11" spans="1:16" x14ac:dyDescent="0.25">
      <c r="A11" s="49">
        <v>80</v>
      </c>
      <c r="B11" s="3" t="s">
        <v>165</v>
      </c>
      <c r="C11" s="3" t="s">
        <v>193</v>
      </c>
      <c r="D11" s="3" t="s">
        <v>167</v>
      </c>
      <c r="E11" s="3" t="s">
        <v>160</v>
      </c>
      <c r="F11" s="3" t="s">
        <v>194</v>
      </c>
      <c r="G11" s="3" t="s">
        <v>110</v>
      </c>
      <c r="H11" s="3" t="s">
        <v>156</v>
      </c>
      <c r="I11" s="3" t="s">
        <v>153</v>
      </c>
      <c r="J11" s="3" t="s">
        <v>141</v>
      </c>
      <c r="K11" s="3" t="s">
        <v>154</v>
      </c>
      <c r="L11" s="3" t="s">
        <v>140</v>
      </c>
      <c r="M11" s="3" t="s">
        <v>146</v>
      </c>
      <c r="N11" s="3" t="s">
        <v>154</v>
      </c>
      <c r="O11" s="3" t="s">
        <v>155</v>
      </c>
      <c r="P11" s="51">
        <v>10</v>
      </c>
    </row>
    <row r="12" spans="1:16" x14ac:dyDescent="0.25">
      <c r="A12" s="49">
        <v>90</v>
      </c>
      <c r="B12" s="3" t="s">
        <v>195</v>
      </c>
      <c r="C12" s="3" t="s">
        <v>196</v>
      </c>
      <c r="D12" s="3" t="s">
        <v>197</v>
      </c>
      <c r="E12" s="3" t="s">
        <v>157</v>
      </c>
      <c r="F12" s="3" t="s">
        <v>198</v>
      </c>
      <c r="G12" s="3" t="s">
        <v>199</v>
      </c>
      <c r="H12" s="3" t="s">
        <v>200</v>
      </c>
      <c r="I12" s="3" t="s">
        <v>171</v>
      </c>
      <c r="J12" s="3" t="s">
        <v>144</v>
      </c>
      <c r="K12" s="3" t="s">
        <v>201</v>
      </c>
      <c r="L12" s="3" t="s">
        <v>156</v>
      </c>
      <c r="M12" s="3" t="s">
        <v>149</v>
      </c>
      <c r="N12" s="3" t="s">
        <v>153</v>
      </c>
      <c r="O12" s="3" t="s">
        <v>155</v>
      </c>
      <c r="P12" s="51">
        <v>0</v>
      </c>
    </row>
    <row r="14" spans="1:16" x14ac:dyDescent="0.25">
      <c r="A14" s="47">
        <v>0.3</v>
      </c>
    </row>
    <row r="15" spans="1:16" x14ac:dyDescent="0.25">
      <c r="A15" s="3" t="s">
        <v>172</v>
      </c>
      <c r="B15" s="19">
        <v>-30</v>
      </c>
      <c r="C15" s="19">
        <v>-20</v>
      </c>
      <c r="D15" s="19">
        <v>-10</v>
      </c>
      <c r="E15" s="19">
        <v>0</v>
      </c>
      <c r="F15" s="19">
        <v>10</v>
      </c>
      <c r="G15" s="19">
        <v>20</v>
      </c>
      <c r="H15" s="19">
        <v>30</v>
      </c>
      <c r="I15" s="19">
        <v>40</v>
      </c>
      <c r="J15" s="19">
        <v>45</v>
      </c>
      <c r="K15" s="19">
        <v>50</v>
      </c>
      <c r="L15" s="19">
        <v>60</v>
      </c>
      <c r="M15" s="19">
        <v>70</v>
      </c>
      <c r="N15" s="19">
        <v>80</v>
      </c>
      <c r="O15" s="19">
        <v>90</v>
      </c>
      <c r="P15" s="3" t="s">
        <v>173</v>
      </c>
    </row>
    <row r="16" spans="1:16" x14ac:dyDescent="0.25">
      <c r="A16" s="50">
        <v>0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3" t="s">
        <v>102</v>
      </c>
      <c r="H16" s="3" t="s">
        <v>103</v>
      </c>
      <c r="I16" s="3" t="s">
        <v>104</v>
      </c>
      <c r="J16" s="3" t="s">
        <v>105</v>
      </c>
      <c r="K16" s="3" t="s">
        <v>106</v>
      </c>
      <c r="L16" s="3" t="s">
        <v>107</v>
      </c>
      <c r="M16" s="3" t="s">
        <v>108</v>
      </c>
      <c r="N16" s="3" t="s">
        <v>109</v>
      </c>
      <c r="O16" s="3" t="s">
        <v>110</v>
      </c>
      <c r="P16" s="52">
        <v>90</v>
      </c>
    </row>
    <row r="17" spans="1:16" x14ac:dyDescent="0.25">
      <c r="A17" s="50">
        <v>10</v>
      </c>
      <c r="B17" s="3" t="s">
        <v>111</v>
      </c>
      <c r="C17" s="3" t="s">
        <v>112</v>
      </c>
      <c r="D17" s="3" t="s">
        <v>105</v>
      </c>
      <c r="E17" s="3" t="s">
        <v>113</v>
      </c>
      <c r="F17" s="3" t="s">
        <v>103</v>
      </c>
      <c r="G17" s="3" t="s">
        <v>114</v>
      </c>
      <c r="H17" s="3" t="s">
        <v>101</v>
      </c>
      <c r="I17" s="3" t="s">
        <v>115</v>
      </c>
      <c r="J17" s="3" t="s">
        <v>116</v>
      </c>
      <c r="K17" s="3" t="s">
        <v>117</v>
      </c>
      <c r="L17" s="3" t="s">
        <v>118</v>
      </c>
      <c r="M17" s="3" t="s">
        <v>108</v>
      </c>
      <c r="N17" s="3" t="s">
        <v>109</v>
      </c>
      <c r="O17" s="3" t="s">
        <v>110</v>
      </c>
      <c r="P17" s="52">
        <v>80</v>
      </c>
    </row>
    <row r="18" spans="1:16" x14ac:dyDescent="0.25">
      <c r="A18" s="50">
        <v>20</v>
      </c>
      <c r="B18" s="3" t="s">
        <v>120</v>
      </c>
      <c r="C18" s="3" t="s">
        <v>121</v>
      </c>
      <c r="D18" s="3" t="s">
        <v>106</v>
      </c>
      <c r="E18" s="3" t="s">
        <v>122</v>
      </c>
      <c r="F18" s="3" t="s">
        <v>113</v>
      </c>
      <c r="G18" s="3" t="s">
        <v>123</v>
      </c>
      <c r="H18" s="3" t="s">
        <v>104</v>
      </c>
      <c r="I18" s="3" t="s">
        <v>116</v>
      </c>
      <c r="J18" s="3" t="s">
        <v>124</v>
      </c>
      <c r="K18" s="3" t="s">
        <v>125</v>
      </c>
      <c r="L18" s="3" t="s">
        <v>126</v>
      </c>
      <c r="M18" s="3" t="s">
        <v>119</v>
      </c>
      <c r="N18" s="3" t="s">
        <v>127</v>
      </c>
      <c r="O18" s="3" t="s">
        <v>110</v>
      </c>
      <c r="P18" s="52">
        <v>70</v>
      </c>
    </row>
    <row r="19" spans="1:16" x14ac:dyDescent="0.25">
      <c r="A19" s="50">
        <v>30</v>
      </c>
      <c r="B19" s="3" t="s">
        <v>119</v>
      </c>
      <c r="C19" s="3" t="s">
        <v>128</v>
      </c>
      <c r="D19" s="3" t="s">
        <v>129</v>
      </c>
      <c r="E19" s="3" t="s">
        <v>106</v>
      </c>
      <c r="F19" s="3" t="s">
        <v>130</v>
      </c>
      <c r="G19" s="3" t="s">
        <v>105</v>
      </c>
      <c r="H19" s="3" t="s">
        <v>130</v>
      </c>
      <c r="I19" s="3" t="s">
        <v>117</v>
      </c>
      <c r="J19" s="3" t="s">
        <v>112</v>
      </c>
      <c r="K19" s="3" t="s">
        <v>131</v>
      </c>
      <c r="L19" s="3" t="s">
        <v>132</v>
      </c>
      <c r="M19" s="3" t="s">
        <v>133</v>
      </c>
      <c r="N19" s="3" t="s">
        <v>134</v>
      </c>
      <c r="O19" s="3" t="s">
        <v>110</v>
      </c>
      <c r="P19" s="52">
        <v>60</v>
      </c>
    </row>
    <row r="20" spans="1:16" x14ac:dyDescent="0.25">
      <c r="A20" s="50">
        <v>40</v>
      </c>
      <c r="B20" s="3" t="s">
        <v>135</v>
      </c>
      <c r="C20" s="3" t="s">
        <v>108</v>
      </c>
      <c r="D20" s="3" t="s">
        <v>111</v>
      </c>
      <c r="E20" s="3" t="s">
        <v>136</v>
      </c>
      <c r="F20" s="3" t="s">
        <v>137</v>
      </c>
      <c r="G20" s="3" t="s">
        <v>112</v>
      </c>
      <c r="H20" s="3" t="s">
        <v>137</v>
      </c>
      <c r="I20" s="3" t="s">
        <v>121</v>
      </c>
      <c r="J20" s="3" t="s">
        <v>118</v>
      </c>
      <c r="K20" s="3" t="s">
        <v>98</v>
      </c>
      <c r="L20" s="3" t="s">
        <v>138</v>
      </c>
      <c r="M20" s="3" t="s">
        <v>139</v>
      </c>
      <c r="N20" s="3" t="s">
        <v>140</v>
      </c>
      <c r="O20" s="3" t="s">
        <v>110</v>
      </c>
      <c r="P20" s="52">
        <v>50</v>
      </c>
    </row>
    <row r="21" spans="1:16" x14ac:dyDescent="0.25">
      <c r="A21" s="50">
        <v>50</v>
      </c>
      <c r="B21" s="3" t="s">
        <v>141</v>
      </c>
      <c r="C21" s="3" t="s">
        <v>142</v>
      </c>
      <c r="D21" s="3" t="s">
        <v>133</v>
      </c>
      <c r="E21" s="3" t="s">
        <v>138</v>
      </c>
      <c r="F21" s="3" t="s">
        <v>132</v>
      </c>
      <c r="G21" s="3" t="s">
        <v>128</v>
      </c>
      <c r="H21" s="3" t="s">
        <v>128</v>
      </c>
      <c r="I21" s="3" t="s">
        <v>132</v>
      </c>
      <c r="J21" s="3" t="s">
        <v>143</v>
      </c>
      <c r="K21" s="3" t="s">
        <v>138</v>
      </c>
      <c r="L21" s="3" t="s">
        <v>133</v>
      </c>
      <c r="M21" s="3" t="s">
        <v>142</v>
      </c>
      <c r="N21" s="3" t="s">
        <v>141</v>
      </c>
      <c r="O21" s="3" t="s">
        <v>110</v>
      </c>
      <c r="P21" s="52">
        <v>40</v>
      </c>
    </row>
    <row r="22" spans="1:16" x14ac:dyDescent="0.25">
      <c r="A22" s="50">
        <v>60</v>
      </c>
      <c r="B22" s="3" t="s">
        <v>144</v>
      </c>
      <c r="C22" s="3" t="s">
        <v>145</v>
      </c>
      <c r="D22" s="3" t="s">
        <v>146</v>
      </c>
      <c r="E22" s="3" t="s">
        <v>142</v>
      </c>
      <c r="F22" s="3" t="s">
        <v>139</v>
      </c>
      <c r="G22" s="3" t="s">
        <v>147</v>
      </c>
      <c r="H22" s="3" t="s">
        <v>133</v>
      </c>
      <c r="I22" s="3" t="s">
        <v>133</v>
      </c>
      <c r="J22" s="3" t="s">
        <v>147</v>
      </c>
      <c r="K22" s="3" t="s">
        <v>148</v>
      </c>
      <c r="L22" s="3" t="s">
        <v>135</v>
      </c>
      <c r="M22" s="3" t="s">
        <v>134</v>
      </c>
      <c r="N22" s="3" t="s">
        <v>149</v>
      </c>
      <c r="O22" s="3" t="s">
        <v>110</v>
      </c>
      <c r="P22" s="52">
        <v>30</v>
      </c>
    </row>
    <row r="23" spans="1:16" x14ac:dyDescent="0.25">
      <c r="A23" s="50">
        <v>70</v>
      </c>
      <c r="B23" s="3" t="s">
        <v>150</v>
      </c>
      <c r="C23" s="3" t="s">
        <v>151</v>
      </c>
      <c r="D23" s="3" t="s">
        <v>144</v>
      </c>
      <c r="E23" s="3" t="s">
        <v>152</v>
      </c>
      <c r="F23" s="3" t="s">
        <v>153</v>
      </c>
      <c r="G23" s="3" t="s">
        <v>154</v>
      </c>
      <c r="H23" s="3" t="s">
        <v>134</v>
      </c>
      <c r="I23" s="3" t="s">
        <v>134</v>
      </c>
      <c r="J23" s="3" t="s">
        <v>134</v>
      </c>
      <c r="K23" s="3" t="s">
        <v>134</v>
      </c>
      <c r="L23" s="3" t="s">
        <v>140</v>
      </c>
      <c r="M23" s="3" t="s">
        <v>155</v>
      </c>
      <c r="N23" s="3" t="s">
        <v>156</v>
      </c>
      <c r="O23" s="3" t="s">
        <v>110</v>
      </c>
      <c r="P23" s="52">
        <v>20</v>
      </c>
    </row>
    <row r="24" spans="1:16" x14ac:dyDescent="0.25">
      <c r="A24" s="50">
        <v>80</v>
      </c>
      <c r="B24" s="3" t="s">
        <v>157</v>
      </c>
      <c r="C24" s="3" t="s">
        <v>158</v>
      </c>
      <c r="D24" s="3" t="s">
        <v>159</v>
      </c>
      <c r="E24" s="3" t="s">
        <v>160</v>
      </c>
      <c r="F24" s="3" t="s">
        <v>151</v>
      </c>
      <c r="G24" s="3" t="s">
        <v>161</v>
      </c>
      <c r="H24" s="3" t="s">
        <v>110</v>
      </c>
      <c r="I24" s="3" t="s">
        <v>162</v>
      </c>
      <c r="J24" s="3" t="s">
        <v>162</v>
      </c>
      <c r="K24" s="3" t="s">
        <v>152</v>
      </c>
      <c r="L24" s="3" t="s">
        <v>156</v>
      </c>
      <c r="M24" s="3" t="s">
        <v>152</v>
      </c>
      <c r="N24" s="3" t="s">
        <v>162</v>
      </c>
      <c r="O24" s="3" t="s">
        <v>110</v>
      </c>
      <c r="P24" s="52">
        <v>10</v>
      </c>
    </row>
    <row r="25" spans="1:16" x14ac:dyDescent="0.25">
      <c r="A25" s="50">
        <v>90</v>
      </c>
      <c r="B25" s="3" t="s">
        <v>163</v>
      </c>
      <c r="C25" s="3" t="s">
        <v>164</v>
      </c>
      <c r="D25" s="3" t="s">
        <v>165</v>
      </c>
      <c r="E25" s="3" t="s">
        <v>157</v>
      </c>
      <c r="F25" s="3" t="s">
        <v>166</v>
      </c>
      <c r="G25" s="3" t="s">
        <v>167</v>
      </c>
      <c r="H25" s="3" t="s">
        <v>150</v>
      </c>
      <c r="I25" s="3" t="s">
        <v>168</v>
      </c>
      <c r="J25" s="3" t="s">
        <v>169</v>
      </c>
      <c r="K25" s="3" t="s">
        <v>170</v>
      </c>
      <c r="L25" s="3" t="s">
        <v>171</v>
      </c>
      <c r="M25" s="3" t="s">
        <v>144</v>
      </c>
      <c r="N25" s="3" t="s">
        <v>110</v>
      </c>
      <c r="O25" s="3" t="s">
        <v>110</v>
      </c>
      <c r="P25" s="52">
        <v>0</v>
      </c>
    </row>
    <row r="27" spans="1:16" x14ac:dyDescent="0.25">
      <c r="A27" s="48">
        <v>0.2</v>
      </c>
    </row>
    <row r="28" spans="1:16" x14ac:dyDescent="0.25">
      <c r="A28" s="1" t="s">
        <v>172</v>
      </c>
      <c r="B28" s="19">
        <v>-30</v>
      </c>
      <c r="C28" s="19">
        <v>-20</v>
      </c>
      <c r="D28" s="19">
        <v>-10</v>
      </c>
      <c r="E28" s="19">
        <v>0</v>
      </c>
      <c r="F28" s="19">
        <v>10</v>
      </c>
      <c r="G28" s="19">
        <v>20</v>
      </c>
      <c r="H28" s="19">
        <v>30</v>
      </c>
      <c r="I28" s="19">
        <v>40</v>
      </c>
      <c r="J28" s="19">
        <v>45</v>
      </c>
      <c r="K28" s="19">
        <v>50</v>
      </c>
      <c r="L28" s="19">
        <v>60</v>
      </c>
      <c r="M28" s="19">
        <v>70</v>
      </c>
      <c r="N28" s="19">
        <v>80</v>
      </c>
      <c r="O28" s="19">
        <v>90</v>
      </c>
      <c r="P28" s="3" t="s">
        <v>173</v>
      </c>
    </row>
    <row r="29" spans="1:16" x14ac:dyDescent="0.25">
      <c r="A29" s="50">
        <v>0</v>
      </c>
      <c r="B29" s="3" t="s">
        <v>136</v>
      </c>
      <c r="C29" s="3" t="s">
        <v>106</v>
      </c>
      <c r="D29" s="3" t="s">
        <v>115</v>
      </c>
      <c r="E29" s="3" t="s">
        <v>101</v>
      </c>
      <c r="F29" s="3" t="s">
        <v>103</v>
      </c>
      <c r="G29" s="3" t="s">
        <v>180</v>
      </c>
      <c r="H29" s="3" t="s">
        <v>202</v>
      </c>
      <c r="I29" s="3" t="s">
        <v>203</v>
      </c>
      <c r="J29" s="3" t="s">
        <v>177</v>
      </c>
      <c r="K29" s="3" t="s">
        <v>129</v>
      </c>
      <c r="L29" s="3" t="s">
        <v>143</v>
      </c>
      <c r="M29" s="3" t="s">
        <v>184</v>
      </c>
      <c r="N29" s="3" t="s">
        <v>145</v>
      </c>
      <c r="O29" s="3" t="s">
        <v>200</v>
      </c>
      <c r="P29" s="52">
        <v>90</v>
      </c>
    </row>
    <row r="30" spans="1:16" x14ac:dyDescent="0.25">
      <c r="A30" s="50">
        <v>10</v>
      </c>
      <c r="B30" s="3" t="s">
        <v>118</v>
      </c>
      <c r="C30" s="3" t="s">
        <v>117</v>
      </c>
      <c r="D30" s="3" t="s">
        <v>122</v>
      </c>
      <c r="E30" s="3" t="s">
        <v>113</v>
      </c>
      <c r="F30" s="3" t="s">
        <v>101</v>
      </c>
      <c r="G30" s="3" t="s">
        <v>123</v>
      </c>
      <c r="H30" s="3" t="s">
        <v>115</v>
      </c>
      <c r="I30" s="3" t="s">
        <v>124</v>
      </c>
      <c r="J30" s="3" t="s">
        <v>99</v>
      </c>
      <c r="K30" s="3" t="s">
        <v>131</v>
      </c>
      <c r="L30" s="3" t="s">
        <v>143</v>
      </c>
      <c r="M30" s="3" t="s">
        <v>191</v>
      </c>
      <c r="N30" s="3" t="s">
        <v>145</v>
      </c>
      <c r="O30" s="3" t="s">
        <v>200</v>
      </c>
      <c r="P30" s="52">
        <v>80</v>
      </c>
    </row>
    <row r="31" spans="1:16" x14ac:dyDescent="0.25">
      <c r="A31" s="50">
        <v>20</v>
      </c>
      <c r="B31" s="3" t="s">
        <v>128</v>
      </c>
      <c r="C31" s="3" t="s">
        <v>137</v>
      </c>
      <c r="D31" s="3" t="s">
        <v>203</v>
      </c>
      <c r="E31" s="3" t="s">
        <v>122</v>
      </c>
      <c r="F31" s="3" t="s">
        <v>104</v>
      </c>
      <c r="G31" s="3" t="s">
        <v>115</v>
      </c>
      <c r="H31" s="3" t="s">
        <v>116</v>
      </c>
      <c r="I31" s="3" t="s">
        <v>177</v>
      </c>
      <c r="J31" s="3" t="s">
        <v>137</v>
      </c>
      <c r="K31" s="3" t="s">
        <v>107</v>
      </c>
      <c r="L31" s="3" t="s">
        <v>138</v>
      </c>
      <c r="M31" s="3" t="s">
        <v>135</v>
      </c>
      <c r="N31" s="3" t="s">
        <v>185</v>
      </c>
      <c r="O31" s="3" t="s">
        <v>200</v>
      </c>
      <c r="P31" s="52">
        <v>70</v>
      </c>
    </row>
    <row r="32" spans="1:16" x14ac:dyDescent="0.25">
      <c r="A32" s="50">
        <v>30</v>
      </c>
      <c r="B32" s="3" t="s">
        <v>178</v>
      </c>
      <c r="C32" s="3" t="s">
        <v>118</v>
      </c>
      <c r="D32" s="3" t="s">
        <v>112</v>
      </c>
      <c r="E32" s="3" t="s">
        <v>106</v>
      </c>
      <c r="F32" s="3" t="s">
        <v>203</v>
      </c>
      <c r="G32" s="3" t="s">
        <v>124</v>
      </c>
      <c r="H32" s="3" t="s">
        <v>177</v>
      </c>
      <c r="I32" s="3" t="s">
        <v>131</v>
      </c>
      <c r="J32" s="3" t="s">
        <v>118</v>
      </c>
      <c r="K32" s="3" t="s">
        <v>128</v>
      </c>
      <c r="L32" s="3" t="s">
        <v>182</v>
      </c>
      <c r="M32" s="3" t="s">
        <v>189</v>
      </c>
      <c r="N32" s="3" t="s">
        <v>156</v>
      </c>
      <c r="O32" s="3" t="s">
        <v>200</v>
      </c>
      <c r="P32" s="52">
        <v>60</v>
      </c>
    </row>
    <row r="33" spans="1:16" x14ac:dyDescent="0.25">
      <c r="A33" s="50">
        <v>40</v>
      </c>
      <c r="B33" s="3" t="s">
        <v>181</v>
      </c>
      <c r="C33" s="3" t="s">
        <v>178</v>
      </c>
      <c r="D33" s="3" t="s">
        <v>98</v>
      </c>
      <c r="E33" s="3" t="s">
        <v>136</v>
      </c>
      <c r="F33" s="3" t="s">
        <v>131</v>
      </c>
      <c r="G33" s="3" t="s">
        <v>131</v>
      </c>
      <c r="H33" s="3" t="s">
        <v>107</v>
      </c>
      <c r="I33" s="3" t="s">
        <v>98</v>
      </c>
      <c r="J33" s="3" t="s">
        <v>183</v>
      </c>
      <c r="K33" s="3" t="s">
        <v>178</v>
      </c>
      <c r="L33" s="3" t="s">
        <v>181</v>
      </c>
      <c r="M33" s="3" t="s">
        <v>134</v>
      </c>
      <c r="N33" s="3" t="s">
        <v>162</v>
      </c>
      <c r="O33" s="3" t="s">
        <v>200</v>
      </c>
      <c r="P33" s="52">
        <v>50</v>
      </c>
    </row>
    <row r="34" spans="1:16" x14ac:dyDescent="0.25">
      <c r="A34" s="50">
        <v>50</v>
      </c>
      <c r="B34" s="3" t="s">
        <v>127</v>
      </c>
      <c r="C34" s="3" t="s">
        <v>139</v>
      </c>
      <c r="D34" s="3" t="s">
        <v>119</v>
      </c>
      <c r="E34" s="3" t="s">
        <v>138</v>
      </c>
      <c r="F34" s="3" t="s">
        <v>143</v>
      </c>
      <c r="G34" s="3" t="s">
        <v>143</v>
      </c>
      <c r="H34" s="3" t="s">
        <v>120</v>
      </c>
      <c r="I34" s="3" t="s">
        <v>108</v>
      </c>
      <c r="J34" s="3" t="s">
        <v>119</v>
      </c>
      <c r="K34" s="3" t="s">
        <v>147</v>
      </c>
      <c r="L34" s="3" t="s">
        <v>192</v>
      </c>
      <c r="M34" s="3" t="s">
        <v>141</v>
      </c>
      <c r="N34" s="3" t="s">
        <v>201</v>
      </c>
      <c r="O34" s="3" t="s">
        <v>200</v>
      </c>
      <c r="P34" s="52">
        <v>40</v>
      </c>
    </row>
    <row r="35" spans="1:16" x14ac:dyDescent="0.25">
      <c r="A35" s="50">
        <v>60</v>
      </c>
      <c r="B35" s="3" t="s">
        <v>162</v>
      </c>
      <c r="C35" s="3" t="s">
        <v>155</v>
      </c>
      <c r="D35" s="3" t="s">
        <v>127</v>
      </c>
      <c r="E35" s="3" t="s">
        <v>142</v>
      </c>
      <c r="F35" s="3" t="s">
        <v>184</v>
      </c>
      <c r="G35" s="3" t="s">
        <v>139</v>
      </c>
      <c r="H35" s="3" t="s">
        <v>184</v>
      </c>
      <c r="I35" s="3" t="s">
        <v>135</v>
      </c>
      <c r="J35" s="3" t="s">
        <v>192</v>
      </c>
      <c r="K35" s="3" t="s">
        <v>109</v>
      </c>
      <c r="L35" s="3" t="s">
        <v>154</v>
      </c>
      <c r="M35" s="3" t="s">
        <v>185</v>
      </c>
      <c r="N35" s="3" t="s">
        <v>144</v>
      </c>
      <c r="O35" s="3" t="s">
        <v>200</v>
      </c>
      <c r="P35" s="52">
        <v>30</v>
      </c>
    </row>
    <row r="36" spans="1:16" x14ac:dyDescent="0.25">
      <c r="A36" s="50">
        <v>70</v>
      </c>
      <c r="B36" s="3" t="s">
        <v>200</v>
      </c>
      <c r="C36" s="3" t="s">
        <v>187</v>
      </c>
      <c r="D36" s="3" t="s">
        <v>110</v>
      </c>
      <c r="E36" s="3" t="s">
        <v>152</v>
      </c>
      <c r="F36" s="3" t="s">
        <v>145</v>
      </c>
      <c r="G36" s="3" t="s">
        <v>153</v>
      </c>
      <c r="H36" s="3" t="s">
        <v>155</v>
      </c>
      <c r="I36" s="3" t="s">
        <v>153</v>
      </c>
      <c r="J36" s="3" t="s">
        <v>149</v>
      </c>
      <c r="K36" s="3" t="s">
        <v>145</v>
      </c>
      <c r="L36" s="3" t="s">
        <v>152</v>
      </c>
      <c r="M36" s="3" t="s">
        <v>110</v>
      </c>
      <c r="N36" s="3" t="s">
        <v>171</v>
      </c>
      <c r="O36" s="3" t="s">
        <v>200</v>
      </c>
      <c r="P36" s="52">
        <v>20</v>
      </c>
    </row>
    <row r="37" spans="1:16" x14ac:dyDescent="0.25">
      <c r="A37" s="50">
        <v>80</v>
      </c>
      <c r="B37" s="3" t="s">
        <v>166</v>
      </c>
      <c r="C37" s="3" t="s">
        <v>204</v>
      </c>
      <c r="D37" s="3" t="s">
        <v>199</v>
      </c>
      <c r="E37" s="3" t="s">
        <v>160</v>
      </c>
      <c r="F37" s="3" t="s">
        <v>169</v>
      </c>
      <c r="G37" s="3" t="s">
        <v>170</v>
      </c>
      <c r="H37" s="3" t="s">
        <v>187</v>
      </c>
      <c r="I37" s="3" t="s">
        <v>171</v>
      </c>
      <c r="J37" s="3" t="s">
        <v>171</v>
      </c>
      <c r="K37" s="3" t="s">
        <v>171</v>
      </c>
      <c r="L37" s="3" t="s">
        <v>171</v>
      </c>
      <c r="M37" s="3" t="s">
        <v>187</v>
      </c>
      <c r="N37" s="3" t="s">
        <v>170</v>
      </c>
      <c r="O37" s="3" t="s">
        <v>200</v>
      </c>
      <c r="P37" s="52">
        <v>10</v>
      </c>
    </row>
    <row r="38" spans="1:16" x14ac:dyDescent="0.25">
      <c r="A38" s="50">
        <v>90</v>
      </c>
      <c r="B38" s="3" t="s">
        <v>164</v>
      </c>
      <c r="C38" s="3" t="s">
        <v>197</v>
      </c>
      <c r="D38" s="3" t="s">
        <v>205</v>
      </c>
      <c r="E38" s="3" t="s">
        <v>157</v>
      </c>
      <c r="F38" s="3" t="s">
        <v>193</v>
      </c>
      <c r="G38" s="3" t="s">
        <v>198</v>
      </c>
      <c r="H38" s="3" t="s">
        <v>167</v>
      </c>
      <c r="I38" s="3" t="s">
        <v>206</v>
      </c>
      <c r="J38" s="3" t="s">
        <v>199</v>
      </c>
      <c r="K38" s="3" t="s">
        <v>150</v>
      </c>
      <c r="L38" s="3" t="s">
        <v>160</v>
      </c>
      <c r="M38" s="3" t="s">
        <v>168</v>
      </c>
      <c r="N38" s="3" t="s">
        <v>200</v>
      </c>
      <c r="O38" s="3" t="s">
        <v>200</v>
      </c>
      <c r="P38" s="52">
        <v>0</v>
      </c>
    </row>
    <row r="40" spans="1:16" x14ac:dyDescent="0.25">
      <c r="A40" s="48">
        <v>0.1</v>
      </c>
    </row>
    <row r="41" spans="1:16" x14ac:dyDescent="0.25">
      <c r="A41" s="1" t="s">
        <v>172</v>
      </c>
      <c r="B41" s="19">
        <v>-30</v>
      </c>
      <c r="C41" s="19">
        <v>-20</v>
      </c>
      <c r="D41" s="19">
        <v>-10</v>
      </c>
      <c r="E41" s="19">
        <v>0</v>
      </c>
      <c r="F41" s="19">
        <v>10</v>
      </c>
      <c r="G41" s="19">
        <v>20</v>
      </c>
      <c r="H41" s="19">
        <v>30</v>
      </c>
      <c r="I41" s="19">
        <v>40</v>
      </c>
      <c r="J41" s="19">
        <v>45</v>
      </c>
      <c r="K41" s="19">
        <v>50</v>
      </c>
      <c r="L41" s="19">
        <v>60</v>
      </c>
      <c r="M41" s="19">
        <v>70</v>
      </c>
      <c r="N41" s="19">
        <v>80</v>
      </c>
      <c r="O41" s="19">
        <v>90</v>
      </c>
      <c r="P41" s="3" t="s">
        <v>173</v>
      </c>
    </row>
    <row r="42" spans="1:16" x14ac:dyDescent="0.25">
      <c r="A42" s="50">
        <v>0</v>
      </c>
      <c r="B42" s="3" t="s">
        <v>112</v>
      </c>
      <c r="C42" s="3" t="s">
        <v>116</v>
      </c>
      <c r="D42" s="3" t="s">
        <v>202</v>
      </c>
      <c r="E42" s="3" t="s">
        <v>101</v>
      </c>
      <c r="F42" s="3" t="s">
        <v>101</v>
      </c>
      <c r="G42" s="3" t="s">
        <v>202</v>
      </c>
      <c r="H42" s="3" t="s">
        <v>105</v>
      </c>
      <c r="I42" s="3" t="s">
        <v>125</v>
      </c>
      <c r="J42" s="3" t="s">
        <v>121</v>
      </c>
      <c r="K42" s="3" t="s">
        <v>98</v>
      </c>
      <c r="L42" s="3" t="s">
        <v>207</v>
      </c>
      <c r="M42" s="3" t="s">
        <v>146</v>
      </c>
      <c r="N42" s="3" t="s">
        <v>161</v>
      </c>
      <c r="O42" s="3" t="s">
        <v>167</v>
      </c>
      <c r="P42" s="52">
        <v>90</v>
      </c>
    </row>
    <row r="43" spans="1:16" x14ac:dyDescent="0.25">
      <c r="A43" s="50">
        <v>10</v>
      </c>
      <c r="B43" s="3" t="s">
        <v>129</v>
      </c>
      <c r="C43" s="3" t="s">
        <v>203</v>
      </c>
      <c r="D43" s="3" t="s">
        <v>115</v>
      </c>
      <c r="E43" s="3" t="s">
        <v>113</v>
      </c>
      <c r="F43" s="3" t="s">
        <v>123</v>
      </c>
      <c r="G43" s="3" t="s">
        <v>104</v>
      </c>
      <c r="H43" s="3" t="s">
        <v>130</v>
      </c>
      <c r="I43" s="3" t="s">
        <v>112</v>
      </c>
      <c r="J43" s="3" t="s">
        <v>136</v>
      </c>
      <c r="K43" s="3" t="s">
        <v>128</v>
      </c>
      <c r="L43" s="3" t="s">
        <v>133</v>
      </c>
      <c r="M43" s="3" t="s">
        <v>140</v>
      </c>
      <c r="N43" s="3" t="s">
        <v>161</v>
      </c>
      <c r="O43" s="3" t="s">
        <v>167</v>
      </c>
      <c r="P43" s="52">
        <v>80</v>
      </c>
    </row>
    <row r="44" spans="1:16" x14ac:dyDescent="0.25">
      <c r="A44" s="50">
        <v>20</v>
      </c>
      <c r="B44" s="3" t="s">
        <v>107</v>
      </c>
      <c r="C44" s="3" t="s">
        <v>177</v>
      </c>
      <c r="D44" s="3" t="s">
        <v>116</v>
      </c>
      <c r="E44" s="3" t="s">
        <v>122</v>
      </c>
      <c r="F44" s="3" t="s">
        <v>122</v>
      </c>
      <c r="G44" s="3" t="s">
        <v>105</v>
      </c>
      <c r="H44" s="3" t="s">
        <v>117</v>
      </c>
      <c r="I44" s="3" t="s">
        <v>121</v>
      </c>
      <c r="J44" s="3" t="s">
        <v>186</v>
      </c>
      <c r="K44" s="3" t="s">
        <v>183</v>
      </c>
      <c r="L44" s="3" t="s">
        <v>181</v>
      </c>
      <c r="M44" s="3" t="s">
        <v>154</v>
      </c>
      <c r="N44" s="3" t="s">
        <v>171</v>
      </c>
      <c r="O44" s="3" t="s">
        <v>167</v>
      </c>
      <c r="P44" s="52">
        <v>70</v>
      </c>
    </row>
    <row r="45" spans="1:16" x14ac:dyDescent="0.25">
      <c r="A45" s="50">
        <v>30</v>
      </c>
      <c r="B45" s="3" t="s">
        <v>111</v>
      </c>
      <c r="C45" s="3" t="s">
        <v>121</v>
      </c>
      <c r="D45" s="3" t="s">
        <v>99</v>
      </c>
      <c r="E45" s="3" t="s">
        <v>106</v>
      </c>
      <c r="F45" s="3" t="s">
        <v>106</v>
      </c>
      <c r="G45" s="3" t="s">
        <v>177</v>
      </c>
      <c r="H45" s="3" t="s">
        <v>129</v>
      </c>
      <c r="I45" s="3" t="s">
        <v>126</v>
      </c>
      <c r="J45" s="3" t="s">
        <v>183</v>
      </c>
      <c r="K45" s="3" t="s">
        <v>188</v>
      </c>
      <c r="L45" s="3" t="s">
        <v>191</v>
      </c>
      <c r="M45" s="3" t="s">
        <v>153</v>
      </c>
      <c r="N45" s="3" t="s">
        <v>187</v>
      </c>
      <c r="O45" s="3" t="s">
        <v>167</v>
      </c>
      <c r="P45" s="52">
        <v>60</v>
      </c>
    </row>
    <row r="46" spans="1:16" x14ac:dyDescent="0.25">
      <c r="A46" s="50">
        <v>40</v>
      </c>
      <c r="B46" s="3" t="s">
        <v>182</v>
      </c>
      <c r="C46" s="3" t="s">
        <v>132</v>
      </c>
      <c r="D46" s="3" t="s">
        <v>186</v>
      </c>
      <c r="E46" s="3" t="s">
        <v>136</v>
      </c>
      <c r="F46" s="3" t="s">
        <v>136</v>
      </c>
      <c r="G46" s="3" t="s">
        <v>118</v>
      </c>
      <c r="H46" s="3" t="s">
        <v>128</v>
      </c>
      <c r="I46" s="3" t="s">
        <v>178</v>
      </c>
      <c r="J46" s="3" t="s">
        <v>182</v>
      </c>
      <c r="K46" s="3" t="s">
        <v>147</v>
      </c>
      <c r="L46" s="3" t="s">
        <v>109</v>
      </c>
      <c r="M46" s="3" t="s">
        <v>185</v>
      </c>
      <c r="N46" s="3" t="s">
        <v>170</v>
      </c>
      <c r="O46" s="3" t="s">
        <v>167</v>
      </c>
      <c r="P46" s="52">
        <v>50</v>
      </c>
    </row>
    <row r="47" spans="1:16" x14ac:dyDescent="0.25">
      <c r="A47" s="50">
        <v>50</v>
      </c>
      <c r="B47" s="3" t="s">
        <v>135</v>
      </c>
      <c r="C47" s="3" t="s">
        <v>147</v>
      </c>
      <c r="D47" s="3" t="s">
        <v>108</v>
      </c>
      <c r="E47" s="3" t="s">
        <v>138</v>
      </c>
      <c r="F47" s="3" t="s">
        <v>178</v>
      </c>
      <c r="G47" s="3" t="s">
        <v>138</v>
      </c>
      <c r="H47" s="3" t="s">
        <v>182</v>
      </c>
      <c r="I47" s="3" t="s">
        <v>181</v>
      </c>
      <c r="J47" s="3" t="s">
        <v>184</v>
      </c>
      <c r="K47" s="3" t="s">
        <v>192</v>
      </c>
      <c r="L47" s="3" t="s">
        <v>141</v>
      </c>
      <c r="M47" s="3" t="s">
        <v>201</v>
      </c>
      <c r="N47" s="3" t="s">
        <v>169</v>
      </c>
      <c r="O47" s="3" t="s">
        <v>167</v>
      </c>
      <c r="P47" s="52">
        <v>40</v>
      </c>
    </row>
    <row r="48" spans="1:16" x14ac:dyDescent="0.25">
      <c r="A48" s="50">
        <v>60</v>
      </c>
      <c r="B48" s="3" t="s">
        <v>149</v>
      </c>
      <c r="C48" s="3" t="s">
        <v>146</v>
      </c>
      <c r="D48" s="3" t="s">
        <v>189</v>
      </c>
      <c r="E48" s="3" t="s">
        <v>142</v>
      </c>
      <c r="F48" s="3" t="s">
        <v>135</v>
      </c>
      <c r="G48" s="3" t="s">
        <v>142</v>
      </c>
      <c r="H48" s="3" t="s">
        <v>189</v>
      </c>
      <c r="I48" s="3" t="s">
        <v>134</v>
      </c>
      <c r="J48" s="3" t="s">
        <v>154</v>
      </c>
      <c r="K48" s="3" t="s">
        <v>155</v>
      </c>
      <c r="L48" s="3" t="s">
        <v>152</v>
      </c>
      <c r="M48" s="3" t="s">
        <v>171</v>
      </c>
      <c r="N48" s="3" t="s">
        <v>168</v>
      </c>
      <c r="O48" s="3" t="s">
        <v>167</v>
      </c>
      <c r="P48" s="52">
        <v>30</v>
      </c>
    </row>
    <row r="49" spans="1:16" x14ac:dyDescent="0.25">
      <c r="A49" s="50">
        <v>70</v>
      </c>
      <c r="B49" s="3" t="s">
        <v>187</v>
      </c>
      <c r="C49" s="3" t="s">
        <v>208</v>
      </c>
      <c r="D49" s="3" t="s">
        <v>209</v>
      </c>
      <c r="E49" s="3" t="s">
        <v>152</v>
      </c>
      <c r="F49" s="3" t="s">
        <v>156</v>
      </c>
      <c r="G49" s="3" t="s">
        <v>185</v>
      </c>
      <c r="H49" s="3" t="s">
        <v>156</v>
      </c>
      <c r="I49" s="3" t="s">
        <v>162</v>
      </c>
      <c r="J49" s="3" t="s">
        <v>201</v>
      </c>
      <c r="K49" s="3" t="s">
        <v>110</v>
      </c>
      <c r="L49" s="3" t="s">
        <v>171</v>
      </c>
      <c r="M49" s="3" t="s">
        <v>169</v>
      </c>
      <c r="N49" s="3" t="s">
        <v>210</v>
      </c>
      <c r="O49" s="3" t="s">
        <v>167</v>
      </c>
      <c r="P49" s="52">
        <v>20</v>
      </c>
    </row>
    <row r="50" spans="1:16" x14ac:dyDescent="0.25">
      <c r="A50" s="50">
        <v>80</v>
      </c>
      <c r="B50" s="3" t="s">
        <v>167</v>
      </c>
      <c r="C50" s="3" t="s">
        <v>206</v>
      </c>
      <c r="D50" s="3" t="s">
        <v>150</v>
      </c>
      <c r="E50" s="3" t="s">
        <v>160</v>
      </c>
      <c r="F50" s="3" t="s">
        <v>168</v>
      </c>
      <c r="G50" s="3" t="s">
        <v>200</v>
      </c>
      <c r="H50" s="3" t="s">
        <v>200</v>
      </c>
      <c r="I50" s="3" t="s">
        <v>200</v>
      </c>
      <c r="J50" s="3" t="s">
        <v>168</v>
      </c>
      <c r="K50" s="3" t="s">
        <v>168</v>
      </c>
      <c r="L50" s="3" t="s">
        <v>160</v>
      </c>
      <c r="M50" s="3" t="s">
        <v>150</v>
      </c>
      <c r="N50" s="3" t="s">
        <v>206</v>
      </c>
      <c r="O50" s="3" t="s">
        <v>167</v>
      </c>
      <c r="P50" s="52">
        <v>10</v>
      </c>
    </row>
    <row r="51" spans="1:16" x14ac:dyDescent="0.25">
      <c r="A51" s="50">
        <v>90</v>
      </c>
      <c r="B51" s="3" t="s">
        <v>165</v>
      </c>
      <c r="C51" s="3" t="s">
        <v>205</v>
      </c>
      <c r="D51" s="3" t="s">
        <v>211</v>
      </c>
      <c r="E51" s="3" t="s">
        <v>157</v>
      </c>
      <c r="F51" s="3" t="s">
        <v>212</v>
      </c>
      <c r="G51" s="3" t="s">
        <v>193</v>
      </c>
      <c r="H51" s="3" t="s">
        <v>166</v>
      </c>
      <c r="I51" s="3" t="s">
        <v>158</v>
      </c>
      <c r="J51" s="3" t="s">
        <v>198</v>
      </c>
      <c r="K51" s="3" t="s">
        <v>213</v>
      </c>
      <c r="L51" s="3" t="s">
        <v>204</v>
      </c>
      <c r="M51" s="3" t="s">
        <v>204</v>
      </c>
      <c r="N51" s="3" t="s">
        <v>167</v>
      </c>
      <c r="O51" s="3" t="s">
        <v>167</v>
      </c>
      <c r="P51" s="52">
        <v>0</v>
      </c>
    </row>
    <row r="52" spans="1:16" x14ac:dyDescent="0.25">
      <c r="F52" s="43"/>
    </row>
    <row r="53" spans="1:16" x14ac:dyDescent="0.25">
      <c r="A53" s="48">
        <v>0</v>
      </c>
    </row>
    <row r="54" spans="1:16" x14ac:dyDescent="0.25">
      <c r="A54" s="3" t="s">
        <v>172</v>
      </c>
      <c r="B54" s="19">
        <v>-30</v>
      </c>
      <c r="C54" s="19">
        <v>-20</v>
      </c>
      <c r="D54" s="19">
        <v>-10</v>
      </c>
      <c r="E54" s="19">
        <v>0</v>
      </c>
      <c r="F54" s="19">
        <v>10</v>
      </c>
      <c r="G54" s="19">
        <v>20</v>
      </c>
      <c r="H54" s="19">
        <v>30</v>
      </c>
      <c r="I54" s="19">
        <v>40</v>
      </c>
      <c r="J54" s="19">
        <v>45</v>
      </c>
      <c r="K54" s="19">
        <v>50</v>
      </c>
      <c r="L54" s="19">
        <v>60</v>
      </c>
      <c r="M54" s="19">
        <v>70</v>
      </c>
      <c r="N54" s="19">
        <v>80</v>
      </c>
      <c r="O54" s="19">
        <v>90</v>
      </c>
      <c r="P54" s="3" t="s">
        <v>173</v>
      </c>
    </row>
    <row r="55" spans="1:16" x14ac:dyDescent="0.25">
      <c r="A55" s="50">
        <v>0</v>
      </c>
      <c r="B55" s="3" t="s">
        <v>106</v>
      </c>
      <c r="C55" s="3" t="s">
        <v>122</v>
      </c>
      <c r="D55" s="3" t="s">
        <v>113</v>
      </c>
      <c r="E55" s="3" t="s">
        <v>101</v>
      </c>
      <c r="F55" s="3" t="s">
        <v>113</v>
      </c>
      <c r="G55" s="3" t="s">
        <v>122</v>
      </c>
      <c r="H55" s="3" t="s">
        <v>106</v>
      </c>
      <c r="I55" s="3" t="s">
        <v>136</v>
      </c>
      <c r="J55" s="3" t="s">
        <v>128</v>
      </c>
      <c r="K55" s="3" t="s">
        <v>138</v>
      </c>
      <c r="L55" s="3" t="s">
        <v>142</v>
      </c>
      <c r="M55" s="3" t="s">
        <v>152</v>
      </c>
      <c r="N55" s="3" t="s">
        <v>160</v>
      </c>
      <c r="O55" s="3" t="s">
        <v>157</v>
      </c>
      <c r="P55" s="52">
        <v>90</v>
      </c>
    </row>
    <row r="56" spans="1:16" x14ac:dyDescent="0.25">
      <c r="A56" s="50">
        <v>10</v>
      </c>
      <c r="B56" s="3" t="s">
        <v>177</v>
      </c>
      <c r="C56" s="3" t="s">
        <v>100</v>
      </c>
      <c r="D56" s="3" t="s">
        <v>202</v>
      </c>
      <c r="E56" s="3" t="s">
        <v>113</v>
      </c>
      <c r="F56" s="3" t="s">
        <v>202</v>
      </c>
      <c r="G56" s="3" t="s">
        <v>100</v>
      </c>
      <c r="H56" s="3" t="s">
        <v>177</v>
      </c>
      <c r="I56" s="3" t="s">
        <v>118</v>
      </c>
      <c r="J56" s="3" t="s">
        <v>111</v>
      </c>
      <c r="K56" s="3" t="s">
        <v>188</v>
      </c>
      <c r="L56" s="3" t="s">
        <v>192</v>
      </c>
      <c r="M56" s="3" t="s">
        <v>152</v>
      </c>
      <c r="N56" s="3" t="s">
        <v>160</v>
      </c>
      <c r="O56" s="3" t="s">
        <v>157</v>
      </c>
      <c r="P56" s="52">
        <v>80</v>
      </c>
    </row>
    <row r="57" spans="1:16" x14ac:dyDescent="0.25">
      <c r="A57" s="50">
        <v>20</v>
      </c>
      <c r="B57" s="3" t="s">
        <v>137</v>
      </c>
      <c r="C57" s="3" t="s">
        <v>124</v>
      </c>
      <c r="D57" s="3" t="s">
        <v>100</v>
      </c>
      <c r="E57" s="3" t="s">
        <v>122</v>
      </c>
      <c r="F57" s="3" t="s">
        <v>100</v>
      </c>
      <c r="G57" s="3" t="s">
        <v>124</v>
      </c>
      <c r="H57" s="3" t="s">
        <v>137</v>
      </c>
      <c r="I57" s="3" t="s">
        <v>98</v>
      </c>
      <c r="J57" s="3" t="s">
        <v>120</v>
      </c>
      <c r="K57" s="3" t="s">
        <v>119</v>
      </c>
      <c r="L57" s="3" t="s">
        <v>109</v>
      </c>
      <c r="M57" s="3" t="s">
        <v>209</v>
      </c>
      <c r="N57" s="3" t="s">
        <v>210</v>
      </c>
      <c r="O57" s="3" t="s">
        <v>157</v>
      </c>
      <c r="P57" s="52">
        <v>70</v>
      </c>
    </row>
    <row r="58" spans="1:16" x14ac:dyDescent="0.25">
      <c r="A58" s="50">
        <v>30</v>
      </c>
      <c r="B58" s="3" t="s">
        <v>118</v>
      </c>
      <c r="C58" s="3" t="s">
        <v>137</v>
      </c>
      <c r="D58" s="3" t="s">
        <v>177</v>
      </c>
      <c r="E58" s="3" t="s">
        <v>106</v>
      </c>
      <c r="F58" s="3" t="s">
        <v>177</v>
      </c>
      <c r="G58" s="3" t="s">
        <v>137</v>
      </c>
      <c r="H58" s="3" t="s">
        <v>118</v>
      </c>
      <c r="I58" s="3" t="s">
        <v>120</v>
      </c>
      <c r="J58" s="3" t="s">
        <v>182</v>
      </c>
      <c r="K58" s="3" t="s">
        <v>181</v>
      </c>
      <c r="L58" s="3" t="s">
        <v>140</v>
      </c>
      <c r="M58" s="3" t="s">
        <v>110</v>
      </c>
      <c r="N58" s="3" t="s">
        <v>150</v>
      </c>
      <c r="O58" s="3" t="s">
        <v>157</v>
      </c>
      <c r="P58" s="52">
        <v>60</v>
      </c>
    </row>
    <row r="59" spans="1:16" x14ac:dyDescent="0.25">
      <c r="A59" s="50">
        <v>40</v>
      </c>
      <c r="B59" s="3" t="s">
        <v>120</v>
      </c>
      <c r="C59" s="3" t="s">
        <v>98</v>
      </c>
      <c r="D59" s="3" t="s">
        <v>118</v>
      </c>
      <c r="E59" s="3" t="s">
        <v>136</v>
      </c>
      <c r="F59" s="3" t="s">
        <v>118</v>
      </c>
      <c r="G59" s="3" t="s">
        <v>98</v>
      </c>
      <c r="H59" s="3" t="s">
        <v>120</v>
      </c>
      <c r="I59" s="3" t="s">
        <v>207</v>
      </c>
      <c r="J59" s="3" t="s">
        <v>139</v>
      </c>
      <c r="K59" s="3" t="s">
        <v>192</v>
      </c>
      <c r="L59" s="3" t="s">
        <v>149</v>
      </c>
      <c r="M59" s="3" t="s">
        <v>171</v>
      </c>
      <c r="N59" s="3" t="s">
        <v>206</v>
      </c>
      <c r="O59" s="3" t="s">
        <v>157</v>
      </c>
      <c r="P59" s="52">
        <v>50</v>
      </c>
    </row>
    <row r="60" spans="1:16" x14ac:dyDescent="0.25">
      <c r="A60" s="50">
        <v>50</v>
      </c>
      <c r="B60" s="3" t="s">
        <v>181</v>
      </c>
      <c r="C60" s="3" t="s">
        <v>119</v>
      </c>
      <c r="D60" s="3" t="s">
        <v>188</v>
      </c>
      <c r="E60" s="3" t="s">
        <v>138</v>
      </c>
      <c r="F60" s="3" t="s">
        <v>188</v>
      </c>
      <c r="G60" s="3" t="s">
        <v>119</v>
      </c>
      <c r="H60" s="3" t="s">
        <v>181</v>
      </c>
      <c r="I60" s="3" t="s">
        <v>192</v>
      </c>
      <c r="J60" s="3" t="s">
        <v>134</v>
      </c>
      <c r="K60" s="3" t="s">
        <v>141</v>
      </c>
      <c r="L60" s="3" t="s">
        <v>209</v>
      </c>
      <c r="M60" s="3" t="s">
        <v>151</v>
      </c>
      <c r="N60" s="3" t="s">
        <v>214</v>
      </c>
      <c r="O60" s="3" t="s">
        <v>157</v>
      </c>
      <c r="P60" s="52">
        <v>40</v>
      </c>
    </row>
    <row r="61" spans="1:16" x14ac:dyDescent="0.25">
      <c r="A61" s="50">
        <v>60</v>
      </c>
      <c r="B61" s="3" t="s">
        <v>140</v>
      </c>
      <c r="C61" s="3" t="s">
        <v>109</v>
      </c>
      <c r="D61" s="3" t="s">
        <v>192</v>
      </c>
      <c r="E61" s="3" t="s">
        <v>142</v>
      </c>
      <c r="F61" s="3" t="s">
        <v>192</v>
      </c>
      <c r="G61" s="3" t="s">
        <v>109</v>
      </c>
      <c r="H61" s="3" t="s">
        <v>140</v>
      </c>
      <c r="I61" s="3" t="s">
        <v>149</v>
      </c>
      <c r="J61" s="3" t="s">
        <v>156</v>
      </c>
      <c r="K61" s="3" t="s">
        <v>209</v>
      </c>
      <c r="L61" s="3" t="s">
        <v>187</v>
      </c>
      <c r="M61" s="3" t="s">
        <v>160</v>
      </c>
      <c r="N61" s="3" t="s">
        <v>204</v>
      </c>
      <c r="O61" s="3" t="s">
        <v>157</v>
      </c>
      <c r="P61" s="52">
        <v>30</v>
      </c>
    </row>
    <row r="62" spans="1:16" x14ac:dyDescent="0.25">
      <c r="A62" s="50">
        <v>70</v>
      </c>
      <c r="B62" s="3" t="s">
        <v>110</v>
      </c>
      <c r="C62" s="3" t="s">
        <v>209</v>
      </c>
      <c r="D62" s="3" t="s">
        <v>152</v>
      </c>
      <c r="E62" s="3" t="s">
        <v>152</v>
      </c>
      <c r="F62" s="3" t="s">
        <v>152</v>
      </c>
      <c r="G62" s="3" t="s">
        <v>209</v>
      </c>
      <c r="H62" s="3" t="s">
        <v>110</v>
      </c>
      <c r="I62" s="3" t="s">
        <v>171</v>
      </c>
      <c r="J62" s="3" t="s">
        <v>194</v>
      </c>
      <c r="K62" s="3" t="s">
        <v>151</v>
      </c>
      <c r="L62" s="3" t="s">
        <v>160</v>
      </c>
      <c r="M62" s="3" t="s">
        <v>159</v>
      </c>
      <c r="N62" s="3" t="s">
        <v>158</v>
      </c>
      <c r="O62" s="3" t="s">
        <v>157</v>
      </c>
      <c r="P62" s="52">
        <v>20</v>
      </c>
    </row>
    <row r="63" spans="1:16" x14ac:dyDescent="0.25">
      <c r="A63" s="50">
        <v>80</v>
      </c>
      <c r="B63" s="3" t="s">
        <v>150</v>
      </c>
      <c r="C63" s="3" t="s">
        <v>210</v>
      </c>
      <c r="D63" s="3" t="s">
        <v>160</v>
      </c>
      <c r="E63" s="3" t="s">
        <v>160</v>
      </c>
      <c r="F63" s="3" t="s">
        <v>160</v>
      </c>
      <c r="G63" s="3" t="s">
        <v>210</v>
      </c>
      <c r="H63" s="3" t="s">
        <v>150</v>
      </c>
      <c r="I63" s="3" t="s">
        <v>206</v>
      </c>
      <c r="J63" s="3" t="s">
        <v>159</v>
      </c>
      <c r="K63" s="3" t="s">
        <v>214</v>
      </c>
      <c r="L63" s="3" t="s">
        <v>204</v>
      </c>
      <c r="M63" s="3" t="s">
        <v>158</v>
      </c>
      <c r="N63" s="3" t="s">
        <v>193</v>
      </c>
      <c r="O63" s="3" t="s">
        <v>157</v>
      </c>
      <c r="P63" s="52">
        <v>10</v>
      </c>
    </row>
    <row r="64" spans="1:16" x14ac:dyDescent="0.25">
      <c r="A64" s="50">
        <v>90</v>
      </c>
      <c r="B64" s="3" t="s">
        <v>157</v>
      </c>
      <c r="C64" s="3" t="s">
        <v>157</v>
      </c>
      <c r="D64" s="3" t="s">
        <v>157</v>
      </c>
      <c r="E64" s="3" t="s">
        <v>157</v>
      </c>
      <c r="F64" s="3" t="s">
        <v>157</v>
      </c>
      <c r="G64" s="3" t="s">
        <v>157</v>
      </c>
      <c r="H64" s="3" t="s">
        <v>157</v>
      </c>
      <c r="I64" s="3" t="s">
        <v>157</v>
      </c>
      <c r="J64" s="3" t="s">
        <v>157</v>
      </c>
      <c r="K64" s="3" t="s">
        <v>157</v>
      </c>
      <c r="L64" s="3" t="s">
        <v>157</v>
      </c>
      <c r="M64" s="3" t="s">
        <v>157</v>
      </c>
      <c r="N64" s="3" t="s">
        <v>157</v>
      </c>
      <c r="O64" s="3" t="s">
        <v>157</v>
      </c>
      <c r="P64" s="52">
        <v>0</v>
      </c>
    </row>
    <row r="68" spans="1:16" x14ac:dyDescent="0.25">
      <c r="A68" t="s">
        <v>172</v>
      </c>
      <c r="B68">
        <v>-30</v>
      </c>
      <c r="C68">
        <v>-20</v>
      </c>
      <c r="D68">
        <v>-10</v>
      </c>
      <c r="E68">
        <v>0</v>
      </c>
      <c r="F68">
        <v>10</v>
      </c>
      <c r="G68">
        <v>20</v>
      </c>
      <c r="H68">
        <v>30</v>
      </c>
      <c r="I68">
        <v>40</v>
      </c>
      <c r="J68">
        <v>45</v>
      </c>
      <c r="K68">
        <v>50</v>
      </c>
      <c r="L68">
        <v>60</v>
      </c>
      <c r="M68">
        <v>70</v>
      </c>
      <c r="N68">
        <v>80</v>
      </c>
      <c r="O68">
        <v>90</v>
      </c>
      <c r="P68" t="s">
        <v>173</v>
      </c>
    </row>
    <row r="69" spans="1:16" x14ac:dyDescent="0.25">
      <c r="A69">
        <v>0</v>
      </c>
      <c r="B69">
        <v>0.72</v>
      </c>
      <c r="C69">
        <v>0.84</v>
      </c>
      <c r="D69">
        <v>0.93</v>
      </c>
      <c r="E69">
        <v>1</v>
      </c>
      <c r="F69">
        <v>1.04</v>
      </c>
      <c r="G69">
        <v>1.04</v>
      </c>
      <c r="H69">
        <v>1.02</v>
      </c>
      <c r="I69">
        <v>0.96</v>
      </c>
      <c r="J69">
        <v>0.92</v>
      </c>
      <c r="K69">
        <v>0.87</v>
      </c>
      <c r="L69">
        <v>0.76</v>
      </c>
      <c r="M69">
        <v>0.62</v>
      </c>
      <c r="N69">
        <v>0.47</v>
      </c>
      <c r="O69">
        <v>0.3</v>
      </c>
      <c r="P69">
        <v>90</v>
      </c>
    </row>
    <row r="70" spans="1:16" x14ac:dyDescent="0.25">
      <c r="A70">
        <v>10</v>
      </c>
      <c r="B70">
        <v>0.7</v>
      </c>
      <c r="C70">
        <v>0.82</v>
      </c>
      <c r="D70">
        <v>0.92</v>
      </c>
      <c r="E70">
        <v>0.98</v>
      </c>
      <c r="F70">
        <v>1.02</v>
      </c>
      <c r="G70">
        <v>1.03</v>
      </c>
      <c r="H70">
        <v>1</v>
      </c>
      <c r="I70">
        <v>0.95</v>
      </c>
      <c r="J70">
        <v>0.91</v>
      </c>
      <c r="K70">
        <v>0.86</v>
      </c>
      <c r="L70">
        <v>0.75</v>
      </c>
      <c r="M70">
        <v>0.62</v>
      </c>
      <c r="N70">
        <v>0.47</v>
      </c>
      <c r="O70">
        <v>0.3</v>
      </c>
      <c r="P70">
        <v>80</v>
      </c>
    </row>
    <row r="71" spans="1:16" x14ac:dyDescent="0.25">
      <c r="A71">
        <v>20</v>
      </c>
      <c r="B71">
        <v>0.66</v>
      </c>
      <c r="C71">
        <v>0.78</v>
      </c>
      <c r="D71">
        <v>0.87</v>
      </c>
      <c r="E71">
        <v>0.94</v>
      </c>
      <c r="F71">
        <v>0.98</v>
      </c>
      <c r="G71">
        <v>0.99</v>
      </c>
      <c r="H71">
        <v>0.96</v>
      </c>
      <c r="I71">
        <v>0.91</v>
      </c>
      <c r="J71">
        <v>0.88</v>
      </c>
      <c r="K71">
        <v>0.83</v>
      </c>
      <c r="L71">
        <v>0.73</v>
      </c>
      <c r="M71">
        <v>0.6</v>
      </c>
      <c r="N71">
        <v>0.46</v>
      </c>
      <c r="O71">
        <v>0.3</v>
      </c>
      <c r="P71">
        <v>70</v>
      </c>
    </row>
    <row r="72" spans="1:16" x14ac:dyDescent="0.25">
      <c r="A72">
        <v>30</v>
      </c>
      <c r="B72">
        <v>0.6</v>
      </c>
      <c r="C72">
        <v>0.71</v>
      </c>
      <c r="D72">
        <v>0.8</v>
      </c>
      <c r="E72">
        <v>0.87</v>
      </c>
      <c r="F72">
        <v>0.9</v>
      </c>
      <c r="G72">
        <v>0.92</v>
      </c>
      <c r="H72">
        <v>0.9</v>
      </c>
      <c r="I72">
        <v>0.86</v>
      </c>
      <c r="J72">
        <v>0.82</v>
      </c>
      <c r="K72">
        <v>0.79</v>
      </c>
      <c r="L72">
        <v>0.69</v>
      </c>
      <c r="M72">
        <v>0.57999999999999996</v>
      </c>
      <c r="N72">
        <v>0.45</v>
      </c>
      <c r="O72">
        <v>0.3</v>
      </c>
      <c r="P72">
        <v>60</v>
      </c>
    </row>
    <row r="73" spans="1:16" x14ac:dyDescent="0.25">
      <c r="A73">
        <v>40</v>
      </c>
      <c r="B73">
        <v>0.51</v>
      </c>
      <c r="C73">
        <v>0.62</v>
      </c>
      <c r="D73">
        <v>0.7</v>
      </c>
      <c r="E73">
        <v>0.77</v>
      </c>
      <c r="F73">
        <v>0.81</v>
      </c>
      <c r="G73">
        <v>0.82</v>
      </c>
      <c r="H73">
        <v>0.81</v>
      </c>
      <c r="I73">
        <v>0.78</v>
      </c>
      <c r="J73">
        <v>0.75</v>
      </c>
      <c r="K73">
        <v>0.72</v>
      </c>
      <c r="L73">
        <v>0.64</v>
      </c>
      <c r="M73">
        <v>0.54</v>
      </c>
      <c r="N73">
        <v>0.43</v>
      </c>
      <c r="O73">
        <v>0.3</v>
      </c>
      <c r="P73">
        <v>50</v>
      </c>
    </row>
    <row r="74" spans="1:16" x14ac:dyDescent="0.25">
      <c r="A74">
        <v>50</v>
      </c>
      <c r="B74">
        <v>0.41</v>
      </c>
      <c r="C74">
        <v>0.5</v>
      </c>
      <c r="D74">
        <v>0.57999999999999996</v>
      </c>
      <c r="E74">
        <v>0.64</v>
      </c>
      <c r="F74">
        <v>0.69</v>
      </c>
      <c r="G74">
        <v>0.71</v>
      </c>
      <c r="H74">
        <v>0.71</v>
      </c>
      <c r="I74">
        <v>0.69</v>
      </c>
      <c r="J74">
        <v>0.67</v>
      </c>
      <c r="K74">
        <v>0.64</v>
      </c>
      <c r="L74">
        <v>0.57999999999999996</v>
      </c>
      <c r="M74">
        <v>0.5</v>
      </c>
      <c r="N74">
        <v>0.41</v>
      </c>
      <c r="O74">
        <v>0.3</v>
      </c>
      <c r="P74">
        <v>40</v>
      </c>
    </row>
    <row r="75" spans="1:16" x14ac:dyDescent="0.25">
      <c r="A75">
        <v>60</v>
      </c>
      <c r="B75">
        <v>0.28000000000000003</v>
      </c>
      <c r="C75">
        <v>0.37</v>
      </c>
      <c r="D75">
        <v>0.44</v>
      </c>
      <c r="E75">
        <v>0.5</v>
      </c>
      <c r="F75">
        <v>0.54</v>
      </c>
      <c r="G75">
        <v>0.56999999999999995</v>
      </c>
      <c r="H75">
        <v>0.57999999999999996</v>
      </c>
      <c r="I75">
        <v>0.57999999999999996</v>
      </c>
      <c r="J75">
        <v>0.56999999999999995</v>
      </c>
      <c r="K75">
        <v>0.55000000000000004</v>
      </c>
      <c r="L75">
        <v>0.51</v>
      </c>
      <c r="M75">
        <v>0.45</v>
      </c>
      <c r="N75">
        <v>0.38</v>
      </c>
      <c r="O75">
        <v>0.3</v>
      </c>
      <c r="P75">
        <v>30</v>
      </c>
    </row>
    <row r="76" spans="1:16" x14ac:dyDescent="0.25">
      <c r="A76">
        <v>70</v>
      </c>
      <c r="B76">
        <v>0.15</v>
      </c>
      <c r="C76">
        <v>0.22</v>
      </c>
      <c r="D76">
        <v>0.28000000000000003</v>
      </c>
      <c r="E76">
        <v>0.34</v>
      </c>
      <c r="F76">
        <v>0.39</v>
      </c>
      <c r="G76">
        <v>0.42</v>
      </c>
      <c r="H76">
        <v>0.45</v>
      </c>
      <c r="I76">
        <v>0.45</v>
      </c>
      <c r="J76">
        <v>0.45</v>
      </c>
      <c r="K76">
        <v>0.45</v>
      </c>
      <c r="L76">
        <v>0.43</v>
      </c>
      <c r="M76">
        <v>0.4</v>
      </c>
      <c r="N76">
        <v>0.35</v>
      </c>
      <c r="O76">
        <v>0.3</v>
      </c>
      <c r="P76">
        <v>20</v>
      </c>
    </row>
    <row r="77" spans="1:16" x14ac:dyDescent="0.25">
      <c r="A77">
        <v>80</v>
      </c>
      <c r="B77">
        <v>0</v>
      </c>
      <c r="C77">
        <v>0.06</v>
      </c>
      <c r="D77">
        <v>0.12</v>
      </c>
      <c r="E77">
        <v>0.17</v>
      </c>
      <c r="F77">
        <v>0.22</v>
      </c>
      <c r="G77">
        <v>0.27</v>
      </c>
      <c r="H77">
        <v>0.3</v>
      </c>
      <c r="I77">
        <v>0.33</v>
      </c>
      <c r="J77">
        <v>0.33</v>
      </c>
      <c r="K77">
        <v>0.34</v>
      </c>
      <c r="L77">
        <v>0.35</v>
      </c>
      <c r="M77">
        <v>0.34</v>
      </c>
      <c r="N77">
        <v>0.33</v>
      </c>
      <c r="O77">
        <v>0.3</v>
      </c>
      <c r="P77">
        <v>10</v>
      </c>
    </row>
    <row r="78" spans="1:16" x14ac:dyDescent="0.25">
      <c r="A78">
        <v>90</v>
      </c>
      <c r="B78">
        <v>-0.15</v>
      </c>
      <c r="C78">
        <v>-0.1</v>
      </c>
      <c r="D78">
        <v>-0.05</v>
      </c>
      <c r="E78">
        <v>0</v>
      </c>
      <c r="F78">
        <v>0.05</v>
      </c>
      <c r="G78">
        <v>0.1</v>
      </c>
      <c r="H78">
        <v>0.15</v>
      </c>
      <c r="I78">
        <v>0.19</v>
      </c>
      <c r="J78">
        <v>0.21</v>
      </c>
      <c r="K78">
        <v>0.23</v>
      </c>
      <c r="L78">
        <v>0.26</v>
      </c>
      <c r="M78">
        <v>0.28000000000000003</v>
      </c>
      <c r="N78">
        <v>0.3</v>
      </c>
      <c r="O78">
        <v>0.3</v>
      </c>
      <c r="P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</vt:lpstr>
      <vt:lpstr>Tablas</vt:lpstr>
    </vt:vector>
  </TitlesOfParts>
  <Company>FLL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Louzán Lago</dc:creator>
  <cp:lastModifiedBy>Martín Pérez Seoane</cp:lastModifiedBy>
  <dcterms:created xsi:type="dcterms:W3CDTF">2012-12-12T08:19:16Z</dcterms:created>
  <dcterms:modified xsi:type="dcterms:W3CDTF">2025-12-22T17:57:05Z</dcterms:modified>
</cp:coreProperties>
</file>